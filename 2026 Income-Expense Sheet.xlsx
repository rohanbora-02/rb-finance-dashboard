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hanbo/Desktop/"/>
    </mc:Choice>
  </mc:AlternateContent>
  <xr:revisionPtr revIDLastSave="0" documentId="13_ncr:1_{A7640589-5E3B-1A4A-BC47-DDF7B64F9FFD}" xr6:coauthVersionLast="47" xr6:coauthVersionMax="47" xr10:uidLastSave="{00000000-0000-0000-0000-000000000000}"/>
  <bookViews>
    <workbookView xWindow="1500" yWindow="1400" windowWidth="27640" windowHeight="16680" activeTab="1" xr2:uid="{81110F82-0556-934B-8B7E-CC11E0DC12F6}"/>
  </bookViews>
  <sheets>
    <sheet name="Jan '26" sheetId="1" r:id="rId1"/>
    <sheet name="Feb '26" sheetId="3" r:id="rId2"/>
    <sheet name="Salary Info" sheetId="2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D50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1" i="1"/>
  <c r="D52" i="1"/>
  <c r="D53" i="1"/>
</calcChain>
</file>

<file path=xl/sharedStrings.xml><?xml version="1.0" encoding="utf-8"?>
<sst xmlns="http://schemas.openxmlformats.org/spreadsheetml/2006/main" count="434" uniqueCount="110">
  <si>
    <t>Date</t>
  </si>
  <si>
    <t>Description</t>
  </si>
  <si>
    <t>Amount</t>
  </si>
  <si>
    <t>Amount2</t>
  </si>
  <si>
    <t>Category</t>
  </si>
  <si>
    <t>Card</t>
  </si>
  <si>
    <t>Venture X - Ending in 3426</t>
  </si>
  <si>
    <t>West Side Market</t>
  </si>
  <si>
    <t>Groceries</t>
  </si>
  <si>
    <t>Credit Card ( ) - Ending in 3240</t>
  </si>
  <si>
    <t>Paris Baguette</t>
  </si>
  <si>
    <t>Credit Card - Ending in 7288</t>
  </si>
  <si>
    <t>Prova Pizzabar</t>
  </si>
  <si>
    <t>Bath &amp; Body Works</t>
  </si>
  <si>
    <t>Checking Account - Ending in 7017</t>
  </si>
  <si>
    <t>Target</t>
  </si>
  <si>
    <t>Key Food</t>
  </si>
  <si>
    <t>Cvs Pharmacy</t>
  </si>
  <si>
    <t>Spectrum</t>
  </si>
  <si>
    <t>Lucia Pizzeria</t>
  </si>
  <si>
    <t>Tacos Hermanos</t>
  </si>
  <si>
    <t>Chipotle Mexican Grill</t>
  </si>
  <si>
    <t>Amazon Services</t>
  </si>
  <si>
    <t>Liberty Bagels</t>
  </si>
  <si>
    <t>Manhattan Valley Cuisine</t>
  </si>
  <si>
    <t>Rose Pizza</t>
  </si>
  <si>
    <t>Whole Foods Market</t>
  </si>
  <si>
    <t>Adolfo's Mexican Food</t>
  </si>
  <si>
    <t>Google Cloud Storage</t>
  </si>
  <si>
    <t>Bilt World Elite Mastercard - Ending in 3895</t>
  </si>
  <si>
    <t>Il Fornaio</t>
  </si>
  <si>
    <t>G&amp;m Cafe</t>
  </si>
  <si>
    <t>Lululemon Athletica</t>
  </si>
  <si>
    <t>The Donuttery</t>
  </si>
  <si>
    <t>Roma D Italia</t>
  </si>
  <si>
    <t>Annie Ji`s Nail Salon Inc</t>
  </si>
  <si>
    <t>Ipizza</t>
  </si>
  <si>
    <t>Eataly Caffe Llc New York Ny</t>
  </si>
  <si>
    <t>Apple</t>
  </si>
  <si>
    <t>Trader Joe's</t>
  </si>
  <si>
    <t>Metro Diner</t>
  </si>
  <si>
    <t>Grand Total</t>
  </si>
  <si>
    <t>NYSC Gym Membership</t>
  </si>
  <si>
    <t>Laundry</t>
  </si>
  <si>
    <t>Rent</t>
  </si>
  <si>
    <t>Marinara Pizza</t>
  </si>
  <si>
    <t>Food</t>
  </si>
  <si>
    <t>VENMO</t>
  </si>
  <si>
    <t>Personal</t>
  </si>
  <si>
    <t>City Of Huntington Beach Parking</t>
  </si>
  <si>
    <t>Atmasiddhiji Course</t>
  </si>
  <si>
    <t>Categories</t>
  </si>
  <si>
    <t>Total</t>
  </si>
  <si>
    <t>Amazon (Basketball)</t>
  </si>
  <si>
    <t>Amazon - Car Scent and Needles</t>
  </si>
  <si>
    <t>Amazon - Backpack</t>
  </si>
  <si>
    <t>Amazon - Snow Pants</t>
  </si>
  <si>
    <t>LAYG Lunch</t>
  </si>
  <si>
    <t>Shopping</t>
  </si>
  <si>
    <t>Electronics</t>
  </si>
  <si>
    <t>Paychecks/Salary</t>
  </si>
  <si>
    <t>Blaze Pizza</t>
  </si>
  <si>
    <t>Restaurants</t>
  </si>
  <si>
    <t>Amazon Marketplace</t>
  </si>
  <si>
    <t>General Merchandise</t>
  </si>
  <si>
    <t>Telephone</t>
  </si>
  <si>
    <t>Walmart</t>
  </si>
  <si>
    <t>Bilt</t>
  </si>
  <si>
    <t>Child/Dependent</t>
  </si>
  <si>
    <t>Bank Of America</t>
  </si>
  <si>
    <t>Deposits</t>
  </si>
  <si>
    <t>Speedway</t>
  </si>
  <si>
    <t>Gasoline/Fuel</t>
  </si>
  <si>
    <t>Vons</t>
  </si>
  <si>
    <t>Vanmoof - Rybit</t>
  </si>
  <si>
    <t>Other Expenses</t>
  </si>
  <si>
    <t>Nomad Donuts</t>
  </si>
  <si>
    <t>Mta Etix</t>
  </si>
  <si>
    <t>Travel</t>
  </si>
  <si>
    <t>New York City Transit</t>
  </si>
  <si>
    <t>Claude</t>
  </si>
  <si>
    <t>Online Services</t>
  </si>
  <si>
    <t>Amazon</t>
  </si>
  <si>
    <t>Van Leeuwen Ice Cream</t>
  </si>
  <si>
    <t>Flt</t>
  </si>
  <si>
    <t>Personal Care</t>
  </si>
  <si>
    <t>Venmo</t>
  </si>
  <si>
    <t>Transfers</t>
  </si>
  <si>
    <t>Wawa</t>
  </si>
  <si>
    <t>Rei</t>
  </si>
  <si>
    <t>Entertainment</t>
  </si>
  <si>
    <t>Payrange</t>
  </si>
  <si>
    <t>Sportswear</t>
  </si>
  <si>
    <t>Clothing/Shoes</t>
  </si>
  <si>
    <t>The Kati Roll Company</t>
  </si>
  <si>
    <t>Amz Jfk27 Cafe</t>
  </si>
  <si>
    <t>Pi's Deli</t>
  </si>
  <si>
    <t>Sq *bagel Pub Garment Dis</t>
  </si>
  <si>
    <t>Comewelcom</t>
  </si>
  <si>
    <t>Taco Bell</t>
  </si>
  <si>
    <t>Lufthansa</t>
  </si>
  <si>
    <t>La Pizza Italia</t>
  </si>
  <si>
    <t>Made In New York</t>
  </si>
  <si>
    <t>New York Sports Clubs</t>
  </si>
  <si>
    <t>Capital One</t>
  </si>
  <si>
    <t>Credit Card Payments</t>
  </si>
  <si>
    <t>Paypal *shrimad-usa</t>
  </si>
  <si>
    <t>Jpmorganchase</t>
  </si>
  <si>
    <t>Wells Fargo</t>
  </si>
  <si>
    <t>Automatic Payment - Thank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</si>
</sst>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2"/>
      <color theme="1"/>
      <name val="Aptos Narrow"/>
      <family val="2"/>
      <scheme val="minor"/>
    </font>
    <font>
      <b/>
      <sz val="15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5"/>
      <color theme="1"/>
      <name val="Calibri"/>
      <family val="2"/>
    </font>
    <font>
      <sz val="15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theme="4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/>
      </right>
      <top/>
      <bottom style="thin">
        <color theme="4" tint="0.39997558519241921"/>
      </bottom>
      <diagonal/>
    </border>
    <border>
      <left style="thin">
        <color theme="4"/>
      </left>
      <right/>
      <top style="thin">
        <color theme="4"/>
      </top>
      <bottom style="thin">
        <color theme="4" tint="0.39997558519241921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 tint="0.3999755851924192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0.39997558519241921"/>
      </bottom>
      <diagonal/>
    </border>
    <border>
      <left/>
      <right style="thin">
        <color theme="4"/>
      </right>
      <top style="thin">
        <color theme="4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3" fillId="0" borderId="0" xfId="0" applyFont="1"/>
    <xf numFmtId="14" fontId="3" fillId="0" borderId="0" xfId="0" applyNumberFormat="1" applyFont="1"/>
    <xf numFmtId="14" fontId="3" fillId="0" borderId="7" xfId="0" applyNumberFormat="1" applyFont="1" applyBorder="1"/>
    <xf numFmtId="0" fontId="3" fillId="0" borderId="5" xfId="0" applyFont="1" applyBorder="1"/>
    <xf numFmtId="0" fontId="3" fillId="0" borderId="9" xfId="0" applyFont="1" applyBorder="1"/>
    <xf numFmtId="0" fontId="3" fillId="0" borderId="0" xfId="0" applyFont="1" applyAlignment="1">
      <alignment horizontal="left"/>
    </xf>
    <xf numFmtId="0" fontId="4" fillId="3" borderId="0" xfId="0" applyFont="1" applyFill="1"/>
    <xf numFmtId="0" fontId="4" fillId="3" borderId="0" xfId="0" applyFont="1" applyFill="1" applyAlignment="1">
      <alignment horizontal="left"/>
    </xf>
    <xf numFmtId="44" fontId="3" fillId="0" borderId="0" xfId="0" applyNumberFormat="1" applyFont="1"/>
    <xf numFmtId="44" fontId="4" fillId="3" borderId="0" xfId="0" applyNumberFormat="1" applyFont="1" applyFill="1"/>
    <xf numFmtId="0" fontId="1" fillId="2" borderId="4" xfId="0" applyFont="1" applyFill="1" applyBorder="1"/>
    <xf numFmtId="0" fontId="1" fillId="2" borderId="6" xfId="0" applyFont="1" applyFill="1" applyBorder="1"/>
    <xf numFmtId="0" fontId="1" fillId="2" borderId="8" xfId="0" applyFont="1" applyFill="1" applyBorder="1"/>
    <xf numFmtId="44" fontId="3" fillId="0" borderId="5" xfId="1" applyFont="1" applyBorder="1"/>
    <xf numFmtId="14" fontId="0" fillId="0" borderId="0" xfId="0" applyNumberFormat="1"/>
  </cellXfs>
  <cellStyles count="2">
    <cellStyle name="Currency" xfId="1" builtinId="4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none"/>
      </font>
      <numFmt numFmtId="19" formatCode="m/d/yy"/>
    </dxf>
    <dxf>
      <border outline="0"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none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</dxf>
    <dxf>
      <numFmt numFmtId="34" formatCode="_(&quot;$&quot;* #,##0.00_);_(&quot;$&quot;* \(#,##0.00\);_(&quot;$&quot;* &quot;-&quot;??_);_(@_)"/>
    </dxf>
    <dxf>
      <font>
        <color theme="0"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color theme="0"/>
      </font>
    </dxf>
    <dxf>
      <font>
        <color theme="0"/>
      </font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theme="3" tint="0.499984740745262"/>
        </patternFill>
      </fill>
    </dxf>
    <dxf>
      <fill>
        <patternFill patternType="solid">
          <bgColor theme="3" tint="0.499984740745262"/>
        </patternFill>
      </fill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 Income-Expense Sheet.xlsx]Jan '26!PivotTable1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Jan '26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'Jan ''26'!$I$1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156082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'Jan ''26'!$H$2:$H$7</c:f>
              <c:strCache>
                <c:ptCount val="5"/>
                <c:pt idx="0">
                  <c:v>Groceries</c:v>
                </c:pt>
                <c:pt idx="1">
                  <c:v>Rent</c:v>
                </c:pt>
                <c:pt idx="2">
                  <c:v>Food</c:v>
                </c:pt>
                <c:pt idx="3">
                  <c:v>Personal</c:v>
                </c:pt>
                <c:pt idx="4">
                  <c:v>Shopping</c:v>
                </c:pt>
              </c:strCache>
            </c:strRef>
          </c:cat>
          <c:val>
            <c:numRef>
              <c:f>'Jan ''26'!$I$2:$I$7</c:f>
              <c:numCache>
                <c:formatCode>_("$"* #,##0.00_);_("$"* \(#,##0.00\);_("$"* "-"??_);_(@_)</c:formatCode>
                <c:ptCount val="5"/>
                <c:pt idx="0">
                  <c:v>305.79999999999995</c:v>
                </c:pt>
                <c:pt idx="1">
                  <c:v>50</c:v>
                </c:pt>
                <c:pt idx="2">
                  <c:v>196.84</c:v>
                </c:pt>
                <c:pt idx="3">
                  <c:v>241.56</c:v>
                </c:pt>
                <c:pt idx="4">
                  <c:v>291.85000000000002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FD-7440-BA6D-653E0BED0C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471043263"/>
        <c:axId val="1471045055"/>
      </c:barChart>
      <c:catAx>
        <c:axId val="1471043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045055"/>
        <c:crosses val="autoZero"/>
        <c:auto val="1"/>
        <c:lblAlgn val="ctr"/>
        <c:lblOffset val="100"/>
        <c:noMultiLvlLbl val="0"/>
      </c:catAx>
      <c:valAx>
        <c:axId val="1471045055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471043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12700</xdr:colOff>
      <xdr:row>9</xdr:row>
      <xdr:rowOff>0</xdr:rowOff>
    </xdr:from>
    <xdr:to>
      <xdr:col>15</xdr:col>
      <xdr:colOff>0</xdr:colOff>
      <xdr:row>24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945C7B-7D30-6A16-C3C2-7647086DCF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ra, Rohan" refreshedDate="46054.79195914352" createdVersion="8" refreshedVersion="8" minRefreshableVersion="3" recordCount="52" xr:uid="{4E07EE4C-9AF8-D146-81CA-D527583F4776}">
  <cacheSource type="worksheet">
    <worksheetSource name="Jan_25"/>
  </cacheSource>
  <cacheFields count="6">
    <cacheField name="Date" numFmtId="14">
      <sharedItems containsSemiMixedTypes="0" containsNonDate="0" containsDate="1" containsString="0" minDate="2026-01-02T00:00:00" maxDate="2026-02-01T00:00:00"/>
    </cacheField>
    <cacheField name="Description" numFmtId="0">
      <sharedItems/>
    </cacheField>
    <cacheField name="Amount" numFmtId="0">
      <sharedItems containsSemiMixedTypes="0" containsString="0" containsNumber="1" minValue="-205.77" maxValue="25"/>
    </cacheField>
    <cacheField name="Amount2" numFmtId="0">
      <sharedItems containsSemiMixedTypes="0" containsString="0" containsNumber="1" minValue="-25" maxValue="205.77"/>
    </cacheField>
    <cacheField name="Category" numFmtId="0">
      <sharedItems count="22">
        <s v="Personal"/>
        <s v="Shopping"/>
        <s v="Rent"/>
        <s v="Food"/>
        <s v="Groceries"/>
        <s v="Travel" u="1"/>
        <s v="Transfers" u="1"/>
        <s v="Restaurants" u="1"/>
        <s v="General Merchandise" u="1"/>
        <s v="Other Expenses" u="1"/>
        <s v="Personal Care" u="1"/>
        <s v="Paychecks/Salary" u="1"/>
        <s v="Credit Card Payments" u="1"/>
        <s v="Refunds &amp; Reimbursements" u="1"/>
        <s v="Clothing/Shoes" u="1"/>
        <s v="Online Services" u="1"/>
        <s v="ATM/Cash" u="1"/>
        <s v="Entertainment" u="1"/>
        <s v="Electronics" u="1"/>
        <s v="Dues &amp; Subscriptions" u="1"/>
        <s v="Healthcare/Medical" u="1"/>
        <s v="Telephone" u="1"/>
      </sharedItems>
    </cacheField>
    <cacheField name="Car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d v="2026-01-02T00:00:00"/>
    <s v="NYSC Gym Membership"/>
    <n v="-83.59"/>
    <n v="83.59"/>
    <x v="0"/>
    <s v="Venture X - Ending in 3426"/>
  </r>
  <r>
    <d v="2026-01-03T00:00:00"/>
    <s v="Amazon - Backpack"/>
    <n v="-205.77"/>
    <n v="205.77"/>
    <x v="1"/>
    <s v="Credit Card - Ending in 7288"/>
  </r>
  <r>
    <d v="2026-01-03T00:00:00"/>
    <s v="Laundry"/>
    <n v="-10"/>
    <n v="10"/>
    <x v="2"/>
    <s v="Bilt World Elite Mastercard - Ending in 3895"/>
  </r>
  <r>
    <d v="2026-01-04T00:00:00"/>
    <s v="Laundry"/>
    <n v="-10"/>
    <n v="10"/>
    <x v="2"/>
    <s v="Bilt World Elite Mastercard - Ending in 3895"/>
  </r>
  <r>
    <d v="2026-01-05T00:00:00"/>
    <s v="Marinara Pizza"/>
    <n v="-5.0599999999999996"/>
    <n v="5.0599999999999996"/>
    <x v="3"/>
    <s v="Bilt World Elite Mastercard - Ending in 3895"/>
  </r>
  <r>
    <d v="2026-01-05T00:00:00"/>
    <s v="Target"/>
    <n v="-56.68"/>
    <n v="56.68"/>
    <x v="4"/>
    <s v="Checking Account - Ending in 7017"/>
  </r>
  <r>
    <d v="2026-01-05T00:00:00"/>
    <s v="Metro Diner"/>
    <n v="-21.5"/>
    <n v="21.5"/>
    <x v="3"/>
    <s v="Venture X - Ending in 3426"/>
  </r>
  <r>
    <d v="2026-01-05T00:00:00"/>
    <s v="VENMO"/>
    <n v="-1.99"/>
    <n v="1.99"/>
    <x v="0"/>
    <s v="Venture X - Ending in 3426"/>
  </r>
  <r>
    <d v="2026-01-06T00:00:00"/>
    <s v="Whole Foods Market"/>
    <n v="-28.14"/>
    <n v="28.14"/>
    <x v="4"/>
    <s v="Venture X - Ending in 3426"/>
  </r>
  <r>
    <d v="2026-01-06T00:00:00"/>
    <s v="Trader Joe's"/>
    <n v="-72.819999999999993"/>
    <n v="72.819999999999993"/>
    <x v="4"/>
    <s v="Venture X - Ending in 3426"/>
  </r>
  <r>
    <d v="2026-01-06T00:00:00"/>
    <s v="Paris Baguette"/>
    <n v="-3.79"/>
    <n v="3.79"/>
    <x v="3"/>
    <s v="Bilt World Elite Mastercard - Ending in 3895"/>
  </r>
  <r>
    <d v="2026-01-07T00:00:00"/>
    <s v="Apple"/>
    <n v="-9.99"/>
    <n v="9.99"/>
    <x v="0"/>
    <s v="Credit Card - Ending in 7288"/>
  </r>
  <r>
    <d v="2026-01-07T00:00:00"/>
    <s v="Target"/>
    <n v="-23.95"/>
    <n v="23.95"/>
    <x v="4"/>
    <s v="Checking Account - Ending in 7017"/>
  </r>
  <r>
    <d v="2026-01-07T00:00:00"/>
    <s v="Paris Baguette"/>
    <n v="-3.59"/>
    <n v="3.59"/>
    <x v="3"/>
    <s v="Bilt World Elite Mastercard - Ending in 3895"/>
  </r>
  <r>
    <d v="2026-01-08T00:00:00"/>
    <s v="Ipizza"/>
    <n v="-3.91"/>
    <n v="3.91"/>
    <x v="3"/>
    <s v="Venture X - Ending in 3426"/>
  </r>
  <r>
    <d v="2026-01-08T00:00:00"/>
    <s v="Key Food"/>
    <n v="-1.69"/>
    <n v="1.69"/>
    <x v="4"/>
    <s v="Venture X - Ending in 3426"/>
  </r>
  <r>
    <d v="2026-01-08T00:00:00"/>
    <s v="Eataly Caffe Llc New York Ny"/>
    <n v="-10.78"/>
    <n v="10.78"/>
    <x v="3"/>
    <s v="Bilt World Elite Mastercard - Ending in 3895"/>
  </r>
  <r>
    <d v="2026-01-09T00:00:00"/>
    <s v="Annie Ji`s Nail Salon Inc"/>
    <n v="-25"/>
    <n v="25"/>
    <x v="0"/>
    <s v="Venture X - Ending in 3426"/>
  </r>
  <r>
    <d v="2026-01-09T00:00:00"/>
    <s v="Paris Baguette"/>
    <n v="-4.13"/>
    <n v="4.13"/>
    <x v="3"/>
    <s v="Bilt World Elite Mastercard - Ending in 3895"/>
  </r>
  <r>
    <d v="2026-01-10T00:00:00"/>
    <s v="The Donuttery"/>
    <n v="-4.99"/>
    <n v="4.99"/>
    <x v="3"/>
    <s v="Credit Card ( ) - Ending in 3240"/>
  </r>
  <r>
    <d v="2026-01-10T00:00:00"/>
    <s v="Roma D Italia"/>
    <n v="-157.02000000000001"/>
    <n v="26.17"/>
    <x v="3"/>
    <s v="Credit Card ( ) - Ending in 3240"/>
  </r>
  <r>
    <d v="2026-01-10T00:00:00"/>
    <s v="VENMO"/>
    <n v="-4.25"/>
    <n v="4.25"/>
    <x v="0"/>
    <s v="Venture X - Ending in 3426"/>
  </r>
  <r>
    <d v="2026-01-10T00:00:00"/>
    <s v="VENMO"/>
    <n v="-5"/>
    <n v="5"/>
    <x v="0"/>
    <s v="Venture X - Ending in 3426"/>
  </r>
  <r>
    <d v="2026-01-12T00:00:00"/>
    <s v="LAYG Lunch"/>
    <n v="25"/>
    <n v="-25"/>
    <x v="3"/>
    <s v="Checking Account - Ending in 7017"/>
  </r>
  <r>
    <d v="2026-01-12T00:00:00"/>
    <s v="City Of Huntington Beach Parking"/>
    <n v="-1.5"/>
    <n v="1.5"/>
    <x v="0"/>
    <s v="Venture X - Ending in 3426"/>
  </r>
  <r>
    <d v="2026-01-12T00:00:00"/>
    <s v="G&amp;m Cafe"/>
    <n v="-3.28"/>
    <n v="3.28"/>
    <x v="3"/>
    <s v="Venture X - Ending in 3426"/>
  </r>
  <r>
    <d v="2026-01-12T00:00:00"/>
    <s v="Lululemon Athletica"/>
    <n v="-6.46"/>
    <n v="6.46"/>
    <x v="1"/>
    <s v="Venture X - Ending in 3426"/>
  </r>
  <r>
    <d v="2026-01-14T00:00:00"/>
    <s v="Amazon - Car Scent and Needles"/>
    <n v="-13.51"/>
    <n v="13.51"/>
    <x v="1"/>
    <s v="Credit Card - Ending in 7288"/>
  </r>
  <r>
    <d v="2026-01-15T00:00:00"/>
    <s v="VENMO"/>
    <n v="-5"/>
    <n v="5"/>
    <x v="0"/>
    <s v="Venture X - Ending in 3426"/>
  </r>
  <r>
    <d v="2026-01-15T00:00:00"/>
    <s v="VENMO"/>
    <n v="-4.25"/>
    <n v="4.25"/>
    <x v="0"/>
    <s v="Venture X - Ending in 3426"/>
  </r>
  <r>
    <d v="2026-01-16T00:00:00"/>
    <s v="Il Fornaio"/>
    <n v="-33.07"/>
    <n v="33.07"/>
    <x v="3"/>
    <s v="Venture X - Ending in 3426"/>
  </r>
  <r>
    <d v="2026-01-17T00:00:00"/>
    <s v="Adolfo's Mexican Food"/>
    <n v="-13.04"/>
    <n v="13.04"/>
    <x v="3"/>
    <s v="Credit Card ( ) - Ending in 3240"/>
  </r>
  <r>
    <d v="2026-01-17T00:00:00"/>
    <s v="Google Cloud Storage"/>
    <n v="-1.99"/>
    <n v="1.99"/>
    <x v="0"/>
    <s v="Credit Card ( ) - Ending in 3240"/>
  </r>
  <r>
    <d v="2026-01-17T00:00:00"/>
    <s v="Adolfo's Mexican Food"/>
    <n v="-9.92"/>
    <n v="9.92"/>
    <x v="3"/>
    <s v="Credit Card ( ) - Ending in 3240"/>
  </r>
  <r>
    <d v="2026-01-17T00:00:00"/>
    <s v="Atmasiddhiji Course"/>
    <n v="-99"/>
    <n v="99"/>
    <x v="0"/>
    <s v="Venture X - Ending in 3426"/>
  </r>
  <r>
    <d v="2026-01-18T00:00:00"/>
    <s v="Amazon (Basketball)"/>
    <n v="-15.46"/>
    <n v="15.46"/>
    <x v="1"/>
    <s v="Credit Card - Ending in 7288"/>
  </r>
  <r>
    <d v="2026-01-19T00:00:00"/>
    <s v="Whole Foods Market"/>
    <n v="-9.6999999999999993"/>
    <n v="9.6999999999999993"/>
    <x v="4"/>
    <s v="Venture X - Ending in 3426"/>
  </r>
  <r>
    <d v="2026-01-20T00:00:00"/>
    <s v="Rose Pizza"/>
    <n v="-6.8"/>
    <n v="6.8"/>
    <x v="3"/>
    <s v="Credit Card ( ) - Ending in 3240"/>
  </r>
  <r>
    <d v="2026-01-22T00:00:00"/>
    <s v="Liberty Bagels"/>
    <n v="-11.05"/>
    <n v="11.05"/>
    <x v="3"/>
    <s v="Credit Card ( ) - Ending in 3240"/>
  </r>
  <r>
    <d v="2026-01-22T00:00:00"/>
    <s v="Manhattan Valley Cuisine"/>
    <n v="-17.28"/>
    <n v="17.28"/>
    <x v="3"/>
    <s v="Venture X - Ending in 3426"/>
  </r>
  <r>
    <d v="2026-01-23T00:00:00"/>
    <s v="Chipotle Mexican Grill"/>
    <n v="-13.23"/>
    <n v="13.23"/>
    <x v="3"/>
    <s v="Credit Card ( ) - Ending in 3240"/>
  </r>
  <r>
    <d v="2026-01-24T00:00:00"/>
    <s v="Lucia Pizzeria"/>
    <n v="-10.34"/>
    <n v="10.34"/>
    <x v="3"/>
    <s v="Credit Card ( ) - Ending in 3240"/>
  </r>
  <r>
    <d v="2026-01-24T00:00:00"/>
    <s v="Tacos Hermanos"/>
    <n v="-5.44"/>
    <n v="5.44"/>
    <x v="3"/>
    <s v="Credit Card ( ) - Ending in 3240"/>
  </r>
  <r>
    <d v="2026-01-26T00:00:00"/>
    <s v="Target"/>
    <n v="-44.11"/>
    <n v="44.11"/>
    <x v="4"/>
    <s v="Checking Account - Ending in 7017"/>
  </r>
  <r>
    <d v="2026-01-26T00:00:00"/>
    <s v="Key Food"/>
    <n v="-13.97"/>
    <n v="13.97"/>
    <x v="4"/>
    <s v="Venture X - Ending in 3426"/>
  </r>
  <r>
    <d v="2026-01-26T00:00:00"/>
    <s v="Cvs Pharmacy"/>
    <n v="-7.72"/>
    <n v="7.72"/>
    <x v="4"/>
    <s v="Venture X - Ending in 3426"/>
  </r>
  <r>
    <d v="2026-01-26T00:00:00"/>
    <s v="Spectrum"/>
    <n v="-30"/>
    <n v="30"/>
    <x v="2"/>
    <s v="Venture X - Ending in 3426"/>
  </r>
  <r>
    <d v="2026-01-28T00:00:00"/>
    <s v="Prova Pizzabar"/>
    <n v="-10.89"/>
    <n v="10.89"/>
    <x v="3"/>
    <s v="Credit Card ( ) - Ending in 3240"/>
  </r>
  <r>
    <d v="2026-01-28T00:00:00"/>
    <s v="Amazon - Snow Pants"/>
    <n v="-83.98"/>
    <n v="41.99"/>
    <x v="1"/>
    <s v="Credit Card - Ending in 7288"/>
  </r>
  <r>
    <d v="2026-01-28T00:00:00"/>
    <s v="Bath &amp; Body Works"/>
    <n v="-8.66"/>
    <n v="8.66"/>
    <x v="1"/>
    <s v="Credit Card - Ending in 7288"/>
  </r>
  <r>
    <d v="2026-01-29T00:00:00"/>
    <s v="Paris Baguette"/>
    <n v="-3.58"/>
    <n v="3.58"/>
    <x v="3"/>
    <s v="Credit Card ( ) - Ending in 3240"/>
  </r>
  <r>
    <d v="2026-01-31T00:00:00"/>
    <s v="West Side Market"/>
    <n v="-47.02"/>
    <n v="47.02"/>
    <x v="4"/>
    <s v="Venture X - Ending in 34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F2592B-966F-B743-8895-268DEB36D7F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ategories">
  <location ref="H1:I7" firstHeaderRow="1" firstDataRow="1" firstDataCol="1"/>
  <pivotFields count="6">
    <pivotField numFmtId="14" showAll="0"/>
    <pivotField showAll="0"/>
    <pivotField showAll="0"/>
    <pivotField dataField="1" showAll="0"/>
    <pivotField axis="axisRow" showAll="0">
      <items count="23">
        <item m="1" x="16"/>
        <item m="1" x="14"/>
        <item m="1" x="12"/>
        <item m="1" x="19"/>
        <item m="1" x="18"/>
        <item m="1" x="17"/>
        <item m="1" x="8"/>
        <item x="4"/>
        <item m="1" x="20"/>
        <item m="1" x="15"/>
        <item m="1" x="9"/>
        <item m="1" x="11"/>
        <item m="1" x="10"/>
        <item m="1" x="13"/>
        <item m="1" x="7"/>
        <item m="1" x="21"/>
        <item m="1" x="6"/>
        <item m="1" x="5"/>
        <item x="2"/>
        <item x="3"/>
        <item x="0"/>
        <item x="1"/>
        <item t="default"/>
      </items>
    </pivotField>
    <pivotField showAll="0"/>
  </pivotFields>
  <rowFields count="1">
    <field x="4"/>
  </rowFields>
  <rowItems count="6">
    <i>
      <x v="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Total" fld="3" baseField="0" baseItem="0" numFmtId="44"/>
  </dataFields>
  <formats count="23"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4" type="button" dataOnly="0" labelOnly="1" outline="0" axis="axisRow" fieldPosition="0"/>
    </format>
    <format dxfId="29">
      <pivotArea dataOnly="0" labelOnly="1" fieldPosition="0">
        <references count="1">
          <reference field="4" count="0"/>
        </references>
      </pivotArea>
    </format>
    <format dxfId="28">
      <pivotArea dataOnly="0" labelOnly="1" grandRow="1" outline="0" fieldPosition="0"/>
    </format>
    <format dxfId="27">
      <pivotArea dataOnly="0" labelOnly="1" outline="0" axis="axisValues" fieldPosition="0"/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4" type="button" dataOnly="0" labelOnly="1" outline="0" axis="axisRow" fieldPosition="0"/>
    </format>
    <format dxfId="23">
      <pivotArea dataOnly="0" labelOnly="1" fieldPosition="0">
        <references count="1">
          <reference field="4" count="0"/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  <format dxfId="20">
      <pivotArea field="4" type="button" dataOnly="0" labelOnly="1" outline="0" axis="axisRow" fieldPosition="0"/>
    </format>
    <format dxfId="19">
      <pivotArea dataOnly="0" labelOnly="1" outline="0" axis="axisValues" fieldPosition="0"/>
    </format>
    <format dxfId="18">
      <pivotArea field="4" type="button" dataOnly="0" labelOnly="1" outline="0" axis="axisRow" fieldPosition="0"/>
    </format>
    <format dxfId="17">
      <pivotArea dataOnly="0" labelOnly="1" outline="0" axis="axisValues" fieldPosition="0"/>
    </format>
    <format dxfId="16">
      <pivotArea field="4" type="button" dataOnly="0" labelOnly="1" outline="0" axis="axisRow" fieldPosition="0"/>
    </format>
    <format dxfId="15">
      <pivotArea dataOnly="0" labelOnly="1" outline="0" axis="axisValues" fieldPosition="0"/>
    </format>
    <format dxfId="14">
      <pivotArea grandRow="1" outline="0" collapsedLevelsAreSubtotals="1" fieldPosition="0"/>
    </format>
    <format dxfId="13">
      <pivotArea dataOnly="0" labelOnly="1" grandRow="1" outline="0" fieldPosition="0"/>
    </format>
    <format dxfId="12">
      <pivotArea grandRow="1" outline="0" collapsedLevelsAreSubtotals="1" fieldPosition="0"/>
    </format>
    <format dxfId="11">
      <pivotArea dataOnly="0" labelOnly="1" grandRow="1" outline="0" fieldPosition="0"/>
    </format>
    <format dxfId="1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F57994-46CD-1846-9890-B1D18477BD7B}" name="Jan_25" displayName="Jan_25" ref="A1:F53" totalsRowShown="0" headerRowDxfId="9" dataDxfId="7" headerRowBorderDxfId="8" tableBorderDxfId="6">
  <autoFilter ref="A1:F53" xr:uid="{C1F57994-46CD-1846-9890-B1D18477BD7B}"/>
  <sortState xmlns:xlrd2="http://schemas.microsoft.com/office/spreadsheetml/2017/richdata2" ref="A2:F53">
    <sortCondition ref="A1:A53"/>
  </sortState>
  <tableColumns count="6">
    <tableColumn id="1" xr3:uid="{E5BEFC09-0012-4C44-989F-45055FC36216}" name="Date" dataDxfId="5"/>
    <tableColumn id="2" xr3:uid="{F39BA176-4154-EA48-AA0C-B4D9AE7CD276}" name="Description" dataDxfId="4"/>
    <tableColumn id="3" xr3:uid="{D97BFB14-FF45-CE43-813D-205ADB896D8B}" name="Amount" dataDxfId="3"/>
    <tableColumn id="4" xr3:uid="{F464806F-B325-5B48-A277-1A1F5CFAB999}" name="Amount2" dataDxfId="2">
      <calculatedColumnFormula>-Jan_25[[#This Row],[Amount]]</calculatedColumnFormula>
    </tableColumn>
    <tableColumn id="5" xr3:uid="{15DD2BC7-62EB-CF4E-84E5-29A16BE30DBE}" name="Category" dataDxfId="1"/>
    <tableColumn id="6" xr3:uid="{7E8FCDC2-0F55-DD45-B790-8079A6AB7D3A}" name="Card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26F1D-B13E-5D4A-8C33-05652B6BBB28}">
  <dimension ref="A1:I53"/>
  <sheetViews>
    <sheetView workbookViewId="0">
      <selection sqref="A1:F1"/>
    </sheetView>
  </sheetViews>
  <sheetFormatPr baseColWidth="10" defaultRowHeight="16" x14ac:dyDescent="0.2"/>
  <cols>
    <col min="2" max="2" width="35.1640625" bestFit="1" customWidth="1"/>
    <col min="3" max="3" width="33" hidden="1" customWidth="1"/>
    <col min="4" max="4" width="13.1640625" bestFit="1" customWidth="1"/>
    <col min="5" max="5" width="29.6640625" bestFit="1" customWidth="1"/>
    <col min="6" max="6" width="45.5" bestFit="1" customWidth="1"/>
    <col min="8" max="8" width="14.6640625" bestFit="1" customWidth="1"/>
    <col min="9" max="9" width="13.5" bestFit="1" customWidth="1"/>
  </cols>
  <sheetData>
    <row r="1" spans="1:9" ht="2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H1" s="10" t="s">
        <v>51</v>
      </c>
      <c r="I1" s="10" t="s">
        <v>52</v>
      </c>
    </row>
    <row r="2" spans="1:9" ht="20" x14ac:dyDescent="0.25">
      <c r="A2" s="5">
        <v>46024</v>
      </c>
      <c r="B2" s="4" t="s">
        <v>42</v>
      </c>
      <c r="C2" s="4">
        <v>-83.59</v>
      </c>
      <c r="D2" s="4">
        <f>-Jan_25[[#This Row],[Amount]]</f>
        <v>83.59</v>
      </c>
      <c r="E2" s="4" t="s">
        <v>48</v>
      </c>
      <c r="F2" s="4" t="s">
        <v>6</v>
      </c>
      <c r="H2" s="9" t="s">
        <v>8</v>
      </c>
      <c r="I2" s="12">
        <v>305.79999999999995</v>
      </c>
    </row>
    <row r="3" spans="1:9" ht="20" x14ac:dyDescent="0.25">
      <c r="A3" s="5">
        <v>46025</v>
      </c>
      <c r="B3" s="4" t="s">
        <v>55</v>
      </c>
      <c r="C3" s="4">
        <v>-205.77</v>
      </c>
      <c r="D3" s="4">
        <f>-Jan_25[[#This Row],[Amount]]</f>
        <v>205.77</v>
      </c>
      <c r="E3" s="4" t="s">
        <v>58</v>
      </c>
      <c r="F3" s="4" t="s">
        <v>11</v>
      </c>
      <c r="H3" s="9" t="s">
        <v>44</v>
      </c>
      <c r="I3" s="12">
        <v>50</v>
      </c>
    </row>
    <row r="4" spans="1:9" ht="20" x14ac:dyDescent="0.25">
      <c r="A4" s="5">
        <v>46025</v>
      </c>
      <c r="B4" s="4" t="s">
        <v>43</v>
      </c>
      <c r="C4" s="4">
        <v>-10</v>
      </c>
      <c r="D4" s="4">
        <f>-Jan_25[[#This Row],[Amount]]</f>
        <v>10</v>
      </c>
      <c r="E4" s="4" t="s">
        <v>44</v>
      </c>
      <c r="F4" s="4" t="s">
        <v>29</v>
      </c>
      <c r="H4" s="9" t="s">
        <v>46</v>
      </c>
      <c r="I4" s="12">
        <v>196.84</v>
      </c>
    </row>
    <row r="5" spans="1:9" ht="20" x14ac:dyDescent="0.25">
      <c r="A5" s="5">
        <v>46026</v>
      </c>
      <c r="B5" s="4" t="s">
        <v>43</v>
      </c>
      <c r="C5" s="4">
        <v>-10</v>
      </c>
      <c r="D5" s="4">
        <f>-Jan_25[[#This Row],[Amount]]</f>
        <v>10</v>
      </c>
      <c r="E5" s="4" t="s">
        <v>44</v>
      </c>
      <c r="F5" s="4" t="s">
        <v>29</v>
      </c>
      <c r="H5" s="9" t="s">
        <v>48</v>
      </c>
      <c r="I5" s="12">
        <v>241.56</v>
      </c>
    </row>
    <row r="6" spans="1:9" ht="20" x14ac:dyDescent="0.25">
      <c r="A6" s="5">
        <v>46027</v>
      </c>
      <c r="B6" s="4" t="s">
        <v>45</v>
      </c>
      <c r="C6" s="4">
        <v>-5.0599999999999996</v>
      </c>
      <c r="D6" s="4">
        <f>-Jan_25[[#This Row],[Amount]]</f>
        <v>5.0599999999999996</v>
      </c>
      <c r="E6" s="4" t="s">
        <v>46</v>
      </c>
      <c r="F6" s="4" t="s">
        <v>29</v>
      </c>
      <c r="H6" s="9" t="s">
        <v>58</v>
      </c>
      <c r="I6" s="12">
        <v>291.85000000000002</v>
      </c>
    </row>
    <row r="7" spans="1:9" ht="20" x14ac:dyDescent="0.25">
      <c r="A7" s="5">
        <v>46027</v>
      </c>
      <c r="B7" s="4" t="s">
        <v>15</v>
      </c>
      <c r="C7" s="4">
        <v>-56.68</v>
      </c>
      <c r="D7" s="4">
        <f>-Jan_25[[#This Row],[Amount]]</f>
        <v>56.68</v>
      </c>
      <c r="E7" s="4" t="s">
        <v>8</v>
      </c>
      <c r="F7" s="4" t="s">
        <v>14</v>
      </c>
      <c r="H7" s="11" t="s">
        <v>41</v>
      </c>
      <c r="I7" s="13">
        <v>1086.0500000000002</v>
      </c>
    </row>
    <row r="8" spans="1:9" ht="20" x14ac:dyDescent="0.25">
      <c r="A8" s="5">
        <v>46027</v>
      </c>
      <c r="B8" s="4" t="s">
        <v>40</v>
      </c>
      <c r="C8" s="4">
        <v>-21.5</v>
      </c>
      <c r="D8" s="4">
        <f>-Jan_25[[#This Row],[Amount]]</f>
        <v>21.5</v>
      </c>
      <c r="E8" s="4" t="s">
        <v>46</v>
      </c>
      <c r="F8" s="4" t="s">
        <v>6</v>
      </c>
    </row>
    <row r="9" spans="1:9" ht="20" x14ac:dyDescent="0.25">
      <c r="A9" s="5">
        <v>46027</v>
      </c>
      <c r="B9" s="4" t="s">
        <v>47</v>
      </c>
      <c r="C9" s="4">
        <v>-1.99</v>
      </c>
      <c r="D9" s="4">
        <f>-Jan_25[[#This Row],[Amount]]</f>
        <v>1.99</v>
      </c>
      <c r="E9" s="4" t="s">
        <v>48</v>
      </c>
      <c r="F9" s="4" t="s">
        <v>6</v>
      </c>
    </row>
    <row r="10" spans="1:9" ht="20" x14ac:dyDescent="0.25">
      <c r="A10" s="5">
        <v>46028</v>
      </c>
      <c r="B10" s="4" t="s">
        <v>26</v>
      </c>
      <c r="C10" s="4">
        <v>-28.14</v>
      </c>
      <c r="D10" s="4">
        <f>-Jan_25[[#This Row],[Amount]]</f>
        <v>28.14</v>
      </c>
      <c r="E10" s="4" t="s">
        <v>8</v>
      </c>
      <c r="F10" s="4" t="s">
        <v>6</v>
      </c>
    </row>
    <row r="11" spans="1:9" ht="20" x14ac:dyDescent="0.25">
      <c r="A11" s="5">
        <v>46028</v>
      </c>
      <c r="B11" s="4" t="s">
        <v>39</v>
      </c>
      <c r="C11" s="4">
        <v>-72.819999999999993</v>
      </c>
      <c r="D11" s="4">
        <f>-Jan_25[[#This Row],[Amount]]</f>
        <v>72.819999999999993</v>
      </c>
      <c r="E11" s="4" t="s">
        <v>8</v>
      </c>
      <c r="F11" s="4" t="s">
        <v>6</v>
      </c>
    </row>
    <row r="12" spans="1:9" ht="20" x14ac:dyDescent="0.25">
      <c r="A12" s="5">
        <v>46028</v>
      </c>
      <c r="B12" s="4" t="s">
        <v>10</v>
      </c>
      <c r="C12" s="4">
        <v>-3.79</v>
      </c>
      <c r="D12" s="4">
        <f>-Jan_25[[#This Row],[Amount]]</f>
        <v>3.79</v>
      </c>
      <c r="E12" s="4" t="s">
        <v>46</v>
      </c>
      <c r="F12" s="4" t="s">
        <v>29</v>
      </c>
    </row>
    <row r="13" spans="1:9" ht="20" x14ac:dyDescent="0.25">
      <c r="A13" s="5">
        <v>46029</v>
      </c>
      <c r="B13" s="4" t="s">
        <v>38</v>
      </c>
      <c r="C13" s="4">
        <v>-9.99</v>
      </c>
      <c r="D13" s="4">
        <f>-Jan_25[[#This Row],[Amount]]</f>
        <v>9.99</v>
      </c>
      <c r="E13" s="4" t="s">
        <v>48</v>
      </c>
      <c r="F13" s="4" t="s">
        <v>11</v>
      </c>
    </row>
    <row r="14" spans="1:9" ht="20" x14ac:dyDescent="0.25">
      <c r="A14" s="5">
        <v>46029</v>
      </c>
      <c r="B14" s="4" t="s">
        <v>15</v>
      </c>
      <c r="C14" s="4">
        <v>-23.95</v>
      </c>
      <c r="D14" s="4">
        <f>-Jan_25[[#This Row],[Amount]]</f>
        <v>23.95</v>
      </c>
      <c r="E14" s="4" t="s">
        <v>8</v>
      </c>
      <c r="F14" s="4" t="s">
        <v>14</v>
      </c>
    </row>
    <row r="15" spans="1:9" ht="20" x14ac:dyDescent="0.25">
      <c r="A15" s="5">
        <v>46029</v>
      </c>
      <c r="B15" s="4" t="s">
        <v>10</v>
      </c>
      <c r="C15" s="4">
        <v>-3.59</v>
      </c>
      <c r="D15" s="4">
        <f>-Jan_25[[#This Row],[Amount]]</f>
        <v>3.59</v>
      </c>
      <c r="E15" s="4" t="s">
        <v>46</v>
      </c>
      <c r="F15" s="4" t="s">
        <v>29</v>
      </c>
    </row>
    <row r="16" spans="1:9" ht="20" x14ac:dyDescent="0.25">
      <c r="A16" s="5">
        <v>46030</v>
      </c>
      <c r="B16" s="4" t="s">
        <v>36</v>
      </c>
      <c r="C16" s="4">
        <v>-3.91</v>
      </c>
      <c r="D16" s="4">
        <f>-Jan_25[[#This Row],[Amount]]</f>
        <v>3.91</v>
      </c>
      <c r="E16" s="4" t="s">
        <v>46</v>
      </c>
      <c r="F16" s="4" t="s">
        <v>6</v>
      </c>
    </row>
    <row r="17" spans="1:6" ht="20" x14ac:dyDescent="0.25">
      <c r="A17" s="5">
        <v>46030</v>
      </c>
      <c r="B17" s="4" t="s">
        <v>16</v>
      </c>
      <c r="C17" s="4">
        <v>-1.69</v>
      </c>
      <c r="D17" s="4">
        <f>-Jan_25[[#This Row],[Amount]]</f>
        <v>1.69</v>
      </c>
      <c r="E17" s="4" t="s">
        <v>8</v>
      </c>
      <c r="F17" s="4" t="s">
        <v>6</v>
      </c>
    </row>
    <row r="18" spans="1:6" ht="20" x14ac:dyDescent="0.25">
      <c r="A18" s="5">
        <v>46030</v>
      </c>
      <c r="B18" s="4" t="s">
        <v>37</v>
      </c>
      <c r="C18" s="4">
        <v>-10.78</v>
      </c>
      <c r="D18" s="4">
        <f>-Jan_25[[#This Row],[Amount]]</f>
        <v>10.78</v>
      </c>
      <c r="E18" s="4" t="s">
        <v>46</v>
      </c>
      <c r="F18" s="4" t="s">
        <v>29</v>
      </c>
    </row>
    <row r="19" spans="1:6" ht="20" x14ac:dyDescent="0.25">
      <c r="A19" s="5">
        <v>46031</v>
      </c>
      <c r="B19" s="4" t="s">
        <v>35</v>
      </c>
      <c r="C19" s="4">
        <v>-25</v>
      </c>
      <c r="D19" s="4">
        <f>-Jan_25[[#This Row],[Amount]]</f>
        <v>25</v>
      </c>
      <c r="E19" s="4" t="s">
        <v>48</v>
      </c>
      <c r="F19" s="4" t="s">
        <v>6</v>
      </c>
    </row>
    <row r="20" spans="1:6" ht="20" x14ac:dyDescent="0.25">
      <c r="A20" s="5">
        <v>46031</v>
      </c>
      <c r="B20" s="4" t="s">
        <v>10</v>
      </c>
      <c r="C20" s="4">
        <v>-4.13</v>
      </c>
      <c r="D20" s="4">
        <f>-Jan_25[[#This Row],[Amount]]</f>
        <v>4.13</v>
      </c>
      <c r="E20" s="4" t="s">
        <v>46</v>
      </c>
      <c r="F20" s="4" t="s">
        <v>29</v>
      </c>
    </row>
    <row r="21" spans="1:6" ht="20" x14ac:dyDescent="0.25">
      <c r="A21" s="5">
        <v>46032</v>
      </c>
      <c r="B21" s="4" t="s">
        <v>33</v>
      </c>
      <c r="C21" s="4">
        <v>-4.99</v>
      </c>
      <c r="D21" s="4">
        <f>-Jan_25[[#This Row],[Amount]]</f>
        <v>4.99</v>
      </c>
      <c r="E21" s="4" t="s">
        <v>46</v>
      </c>
      <c r="F21" s="4" t="s">
        <v>9</v>
      </c>
    </row>
    <row r="22" spans="1:6" ht="20" x14ac:dyDescent="0.25">
      <c r="A22" s="5">
        <v>46032</v>
      </c>
      <c r="B22" s="4" t="s">
        <v>34</v>
      </c>
      <c r="C22" s="4">
        <v>-157.02000000000001</v>
      </c>
      <c r="D22" s="4">
        <f>-Jan_25[[#This Row],[Amount]]/6</f>
        <v>26.17</v>
      </c>
      <c r="E22" s="4" t="s">
        <v>46</v>
      </c>
      <c r="F22" s="4" t="s">
        <v>9</v>
      </c>
    </row>
    <row r="23" spans="1:6" ht="20" x14ac:dyDescent="0.25">
      <c r="A23" s="5">
        <v>46032</v>
      </c>
      <c r="B23" s="4" t="s">
        <v>47</v>
      </c>
      <c r="C23" s="4">
        <v>-4.25</v>
      </c>
      <c r="D23" s="4">
        <f>-Jan_25[[#This Row],[Amount]]</f>
        <v>4.25</v>
      </c>
      <c r="E23" s="4" t="s">
        <v>48</v>
      </c>
      <c r="F23" s="4" t="s">
        <v>6</v>
      </c>
    </row>
    <row r="24" spans="1:6" ht="20" x14ac:dyDescent="0.25">
      <c r="A24" s="5">
        <v>46032</v>
      </c>
      <c r="B24" s="4" t="s">
        <v>47</v>
      </c>
      <c r="C24" s="4">
        <v>-5</v>
      </c>
      <c r="D24" s="4">
        <f>-Jan_25[[#This Row],[Amount]]</f>
        <v>5</v>
      </c>
      <c r="E24" s="4" t="s">
        <v>48</v>
      </c>
      <c r="F24" s="4" t="s">
        <v>6</v>
      </c>
    </row>
    <row r="25" spans="1:6" ht="20" x14ac:dyDescent="0.25">
      <c r="A25" s="5">
        <v>46034</v>
      </c>
      <c r="B25" s="4" t="s">
        <v>57</v>
      </c>
      <c r="C25" s="4">
        <v>25</v>
      </c>
      <c r="D25" s="4">
        <f>-Jan_25[[#This Row],[Amount]]</f>
        <v>-25</v>
      </c>
      <c r="E25" s="4" t="s">
        <v>46</v>
      </c>
      <c r="F25" s="4" t="s">
        <v>14</v>
      </c>
    </row>
    <row r="26" spans="1:6" ht="20" x14ac:dyDescent="0.25">
      <c r="A26" s="5">
        <v>46034</v>
      </c>
      <c r="B26" s="4" t="s">
        <v>49</v>
      </c>
      <c r="C26" s="4">
        <v>-1.5</v>
      </c>
      <c r="D26" s="4">
        <f>-Jan_25[[#This Row],[Amount]]</f>
        <v>1.5</v>
      </c>
      <c r="E26" s="4" t="s">
        <v>48</v>
      </c>
      <c r="F26" s="4" t="s">
        <v>6</v>
      </c>
    </row>
    <row r="27" spans="1:6" ht="20" x14ac:dyDescent="0.25">
      <c r="A27" s="5">
        <v>46034</v>
      </c>
      <c r="B27" s="4" t="s">
        <v>31</v>
      </c>
      <c r="C27" s="4">
        <v>-3.28</v>
      </c>
      <c r="D27" s="4">
        <f>-Jan_25[[#This Row],[Amount]]</f>
        <v>3.28</v>
      </c>
      <c r="E27" s="4" t="s">
        <v>46</v>
      </c>
      <c r="F27" s="4" t="s">
        <v>6</v>
      </c>
    </row>
    <row r="28" spans="1:6" ht="20" x14ac:dyDescent="0.25">
      <c r="A28" s="5">
        <v>46034</v>
      </c>
      <c r="B28" s="4" t="s">
        <v>32</v>
      </c>
      <c r="C28" s="4">
        <v>-6.46</v>
      </c>
      <c r="D28" s="4">
        <f>-Jan_25[[#This Row],[Amount]]</f>
        <v>6.46</v>
      </c>
      <c r="E28" s="4" t="s">
        <v>58</v>
      </c>
      <c r="F28" s="4" t="s">
        <v>6</v>
      </c>
    </row>
    <row r="29" spans="1:6" ht="20" x14ac:dyDescent="0.25">
      <c r="A29" s="5">
        <v>46036</v>
      </c>
      <c r="B29" s="4" t="s">
        <v>54</v>
      </c>
      <c r="C29" s="4">
        <v>-13.51</v>
      </c>
      <c r="D29" s="4">
        <f>-Jan_25[[#This Row],[Amount]]</f>
        <v>13.51</v>
      </c>
      <c r="E29" s="4" t="s">
        <v>58</v>
      </c>
      <c r="F29" s="4" t="s">
        <v>11</v>
      </c>
    </row>
    <row r="30" spans="1:6" ht="20" x14ac:dyDescent="0.25">
      <c r="A30" s="5">
        <v>46037</v>
      </c>
      <c r="B30" s="4" t="s">
        <v>47</v>
      </c>
      <c r="C30" s="4">
        <v>-5</v>
      </c>
      <c r="D30" s="4">
        <f>-Jan_25[[#This Row],[Amount]]</f>
        <v>5</v>
      </c>
      <c r="E30" s="4" t="s">
        <v>48</v>
      </c>
      <c r="F30" s="4" t="s">
        <v>6</v>
      </c>
    </row>
    <row r="31" spans="1:6" ht="20" x14ac:dyDescent="0.25">
      <c r="A31" s="5">
        <v>46037</v>
      </c>
      <c r="B31" s="4" t="s">
        <v>47</v>
      </c>
      <c r="C31" s="4">
        <v>-4.25</v>
      </c>
      <c r="D31" s="4">
        <f>-Jan_25[[#This Row],[Amount]]</f>
        <v>4.25</v>
      </c>
      <c r="E31" s="4" t="s">
        <v>48</v>
      </c>
      <c r="F31" s="4" t="s">
        <v>6</v>
      </c>
    </row>
    <row r="32" spans="1:6" ht="20" x14ac:dyDescent="0.25">
      <c r="A32" s="5">
        <v>46038</v>
      </c>
      <c r="B32" s="4" t="s">
        <v>30</v>
      </c>
      <c r="C32" s="4">
        <v>-33.07</v>
      </c>
      <c r="D32" s="4">
        <f>-Jan_25[[#This Row],[Amount]]</f>
        <v>33.07</v>
      </c>
      <c r="E32" s="4" t="s">
        <v>46</v>
      </c>
      <c r="F32" s="4" t="s">
        <v>6</v>
      </c>
    </row>
    <row r="33" spans="1:6" ht="20" x14ac:dyDescent="0.25">
      <c r="A33" s="5">
        <v>46039</v>
      </c>
      <c r="B33" s="4" t="s">
        <v>27</v>
      </c>
      <c r="C33" s="4">
        <v>-13.04</v>
      </c>
      <c r="D33" s="4">
        <f>-Jan_25[[#This Row],[Amount]]</f>
        <v>13.04</v>
      </c>
      <c r="E33" s="4" t="s">
        <v>46</v>
      </c>
      <c r="F33" s="4" t="s">
        <v>9</v>
      </c>
    </row>
    <row r="34" spans="1:6" ht="20" x14ac:dyDescent="0.25">
      <c r="A34" s="5">
        <v>46039</v>
      </c>
      <c r="B34" s="4" t="s">
        <v>28</v>
      </c>
      <c r="C34" s="4">
        <v>-1.99</v>
      </c>
      <c r="D34" s="4">
        <f>-Jan_25[[#This Row],[Amount]]</f>
        <v>1.99</v>
      </c>
      <c r="E34" s="4" t="s">
        <v>48</v>
      </c>
      <c r="F34" s="4" t="s">
        <v>9</v>
      </c>
    </row>
    <row r="35" spans="1:6" ht="20" x14ac:dyDescent="0.25">
      <c r="A35" s="5">
        <v>46039</v>
      </c>
      <c r="B35" s="4" t="s">
        <v>27</v>
      </c>
      <c r="C35" s="4">
        <v>-9.92</v>
      </c>
      <c r="D35" s="4">
        <f>-Jan_25[[#This Row],[Amount]]</f>
        <v>9.92</v>
      </c>
      <c r="E35" s="4" t="s">
        <v>46</v>
      </c>
      <c r="F35" s="4" t="s">
        <v>9</v>
      </c>
    </row>
    <row r="36" spans="1:6" ht="20" x14ac:dyDescent="0.25">
      <c r="A36" s="5">
        <v>46039</v>
      </c>
      <c r="B36" s="4" t="s">
        <v>50</v>
      </c>
      <c r="C36" s="4">
        <v>-99</v>
      </c>
      <c r="D36" s="4">
        <f>-Jan_25[[#This Row],[Amount]]</f>
        <v>99</v>
      </c>
      <c r="E36" s="4" t="s">
        <v>48</v>
      </c>
      <c r="F36" s="4" t="s">
        <v>6</v>
      </c>
    </row>
    <row r="37" spans="1:6" ht="20" x14ac:dyDescent="0.25">
      <c r="A37" s="5">
        <v>46040</v>
      </c>
      <c r="B37" s="4" t="s">
        <v>53</v>
      </c>
      <c r="C37" s="4">
        <v>-15.46</v>
      </c>
      <c r="D37" s="4">
        <f>-Jan_25[[#This Row],[Amount]]</f>
        <v>15.46</v>
      </c>
      <c r="E37" s="4" t="s">
        <v>58</v>
      </c>
      <c r="F37" s="4" t="s">
        <v>11</v>
      </c>
    </row>
    <row r="38" spans="1:6" ht="20" x14ac:dyDescent="0.25">
      <c r="A38" s="5">
        <v>46041</v>
      </c>
      <c r="B38" s="4" t="s">
        <v>26</v>
      </c>
      <c r="C38" s="4">
        <v>-9.6999999999999993</v>
      </c>
      <c r="D38" s="4">
        <f>-Jan_25[[#This Row],[Amount]]</f>
        <v>9.6999999999999993</v>
      </c>
      <c r="E38" s="4" t="s">
        <v>8</v>
      </c>
      <c r="F38" s="4" t="s">
        <v>6</v>
      </c>
    </row>
    <row r="39" spans="1:6" ht="20" x14ac:dyDescent="0.25">
      <c r="A39" s="5">
        <v>46042</v>
      </c>
      <c r="B39" s="4" t="s">
        <v>25</v>
      </c>
      <c r="C39" s="4">
        <v>-6.8</v>
      </c>
      <c r="D39" s="4">
        <f>-Jan_25[[#This Row],[Amount]]</f>
        <v>6.8</v>
      </c>
      <c r="E39" s="4" t="s">
        <v>46</v>
      </c>
      <c r="F39" s="4" t="s">
        <v>9</v>
      </c>
    </row>
    <row r="40" spans="1:6" ht="20" x14ac:dyDescent="0.25">
      <c r="A40" s="5">
        <v>46044</v>
      </c>
      <c r="B40" s="4" t="s">
        <v>23</v>
      </c>
      <c r="C40" s="4">
        <v>-11.05</v>
      </c>
      <c r="D40" s="4">
        <f>-Jan_25[[#This Row],[Amount]]</f>
        <v>11.05</v>
      </c>
      <c r="E40" s="4" t="s">
        <v>46</v>
      </c>
      <c r="F40" s="4" t="s">
        <v>9</v>
      </c>
    </row>
    <row r="41" spans="1:6" ht="20" x14ac:dyDescent="0.25">
      <c r="A41" s="5">
        <v>46044</v>
      </c>
      <c r="B41" s="4" t="s">
        <v>24</v>
      </c>
      <c r="C41" s="4">
        <v>-17.28</v>
      </c>
      <c r="D41" s="4">
        <f>-Jan_25[[#This Row],[Amount]]</f>
        <v>17.28</v>
      </c>
      <c r="E41" s="4" t="s">
        <v>46</v>
      </c>
      <c r="F41" s="4" t="s">
        <v>6</v>
      </c>
    </row>
    <row r="42" spans="1:6" ht="20" x14ac:dyDescent="0.25">
      <c r="A42" s="5">
        <v>46045</v>
      </c>
      <c r="B42" s="4" t="s">
        <v>21</v>
      </c>
      <c r="C42" s="4">
        <v>-13.23</v>
      </c>
      <c r="D42" s="4">
        <f>-Jan_25[[#This Row],[Amount]]</f>
        <v>13.23</v>
      </c>
      <c r="E42" s="4" t="s">
        <v>46</v>
      </c>
      <c r="F42" s="4" t="s">
        <v>9</v>
      </c>
    </row>
    <row r="43" spans="1:6" ht="20" x14ac:dyDescent="0.25">
      <c r="A43" s="5">
        <v>46046</v>
      </c>
      <c r="B43" s="4" t="s">
        <v>19</v>
      </c>
      <c r="C43" s="4">
        <v>-10.34</v>
      </c>
      <c r="D43" s="4">
        <f>-Jan_25[[#This Row],[Amount]]</f>
        <v>10.34</v>
      </c>
      <c r="E43" s="4" t="s">
        <v>46</v>
      </c>
      <c r="F43" s="4" t="s">
        <v>9</v>
      </c>
    </row>
    <row r="44" spans="1:6" ht="20" x14ac:dyDescent="0.25">
      <c r="A44" s="5">
        <v>46046</v>
      </c>
      <c r="B44" s="4" t="s">
        <v>20</v>
      </c>
      <c r="C44" s="4">
        <v>-5.44</v>
      </c>
      <c r="D44" s="4">
        <f>-Jan_25[[#This Row],[Amount]]</f>
        <v>5.44</v>
      </c>
      <c r="E44" s="4" t="s">
        <v>46</v>
      </c>
      <c r="F44" s="4" t="s">
        <v>9</v>
      </c>
    </row>
    <row r="45" spans="1:6" ht="20" x14ac:dyDescent="0.25">
      <c r="A45" s="5">
        <v>46048</v>
      </c>
      <c r="B45" s="4" t="s">
        <v>15</v>
      </c>
      <c r="C45" s="4">
        <v>-44.11</v>
      </c>
      <c r="D45" s="4">
        <f>-Jan_25[[#This Row],[Amount]]</f>
        <v>44.11</v>
      </c>
      <c r="E45" s="4" t="s">
        <v>8</v>
      </c>
      <c r="F45" s="4" t="s">
        <v>14</v>
      </c>
    </row>
    <row r="46" spans="1:6" ht="20" x14ac:dyDescent="0.25">
      <c r="A46" s="5">
        <v>46048</v>
      </c>
      <c r="B46" s="4" t="s">
        <v>16</v>
      </c>
      <c r="C46" s="4">
        <v>-13.97</v>
      </c>
      <c r="D46" s="4">
        <f>-Jan_25[[#This Row],[Amount]]</f>
        <v>13.97</v>
      </c>
      <c r="E46" s="4" t="s">
        <v>8</v>
      </c>
      <c r="F46" s="4" t="s">
        <v>6</v>
      </c>
    </row>
    <row r="47" spans="1:6" ht="20" x14ac:dyDescent="0.25">
      <c r="A47" s="5">
        <v>46048</v>
      </c>
      <c r="B47" s="4" t="s">
        <v>17</v>
      </c>
      <c r="C47" s="4">
        <v>-7.72</v>
      </c>
      <c r="D47" s="4">
        <f>-Jan_25[[#This Row],[Amount]]</f>
        <v>7.72</v>
      </c>
      <c r="E47" s="4" t="s">
        <v>8</v>
      </c>
      <c r="F47" s="4" t="s">
        <v>6</v>
      </c>
    </row>
    <row r="48" spans="1:6" ht="20" x14ac:dyDescent="0.25">
      <c r="A48" s="5">
        <v>46048</v>
      </c>
      <c r="B48" s="4" t="s">
        <v>18</v>
      </c>
      <c r="C48" s="4">
        <v>-30</v>
      </c>
      <c r="D48" s="4">
        <f>-Jan_25[[#This Row],[Amount]]</f>
        <v>30</v>
      </c>
      <c r="E48" s="4" t="s">
        <v>44</v>
      </c>
      <c r="F48" s="4" t="s">
        <v>6</v>
      </c>
    </row>
    <row r="49" spans="1:6" ht="20" x14ac:dyDescent="0.25">
      <c r="A49" s="5">
        <v>46050</v>
      </c>
      <c r="B49" s="4" t="s">
        <v>12</v>
      </c>
      <c r="C49" s="4">
        <v>-10.89</v>
      </c>
      <c r="D49" s="4">
        <f>-Jan_25[[#This Row],[Amount]]</f>
        <v>10.89</v>
      </c>
      <c r="E49" s="4" t="s">
        <v>46</v>
      </c>
      <c r="F49" s="4" t="s">
        <v>9</v>
      </c>
    </row>
    <row r="50" spans="1:6" ht="20" x14ac:dyDescent="0.25">
      <c r="A50" s="5">
        <v>46050</v>
      </c>
      <c r="B50" s="4" t="s">
        <v>56</v>
      </c>
      <c r="C50" s="4">
        <v>-83.98</v>
      </c>
      <c r="D50" s="4">
        <f>-Jan_25[[#This Row],[Amount]]/2</f>
        <v>41.99</v>
      </c>
      <c r="E50" s="4" t="s">
        <v>58</v>
      </c>
      <c r="F50" s="4" t="s">
        <v>11</v>
      </c>
    </row>
    <row r="51" spans="1:6" ht="20" x14ac:dyDescent="0.25">
      <c r="A51" s="5">
        <v>46050</v>
      </c>
      <c r="B51" s="4" t="s">
        <v>13</v>
      </c>
      <c r="C51" s="4">
        <v>-8.66</v>
      </c>
      <c r="D51" s="4">
        <f>-Jan_25[[#This Row],[Amount]]</f>
        <v>8.66</v>
      </c>
      <c r="E51" s="4" t="s">
        <v>58</v>
      </c>
      <c r="F51" s="4" t="s">
        <v>11</v>
      </c>
    </row>
    <row r="52" spans="1:6" ht="20" x14ac:dyDescent="0.25">
      <c r="A52" s="5">
        <v>46051</v>
      </c>
      <c r="B52" s="4" t="s">
        <v>10</v>
      </c>
      <c r="C52" s="4">
        <v>-3.58</v>
      </c>
      <c r="D52" s="4">
        <f>-Jan_25[[#This Row],[Amount]]</f>
        <v>3.58</v>
      </c>
      <c r="E52" s="4" t="s">
        <v>46</v>
      </c>
      <c r="F52" s="4" t="s">
        <v>9</v>
      </c>
    </row>
    <row r="53" spans="1:6" ht="20" x14ac:dyDescent="0.25">
      <c r="A53" s="5">
        <v>46053</v>
      </c>
      <c r="B53" s="4" t="s">
        <v>7</v>
      </c>
      <c r="C53" s="4">
        <v>-47.02</v>
      </c>
      <c r="D53" s="4">
        <f>-Jan_25[[#This Row],[Amount]]</f>
        <v>47.02</v>
      </c>
      <c r="E53" s="4" t="s">
        <v>8</v>
      </c>
      <c r="F53" s="4" t="s">
        <v>6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02586-A5FE-AA4F-B742-4ED4A660B291}">
  <dimension ref="A1:F83"/>
  <sheetViews>
    <sheetView tabSelected="1" workbookViewId="0">
      <selection activeCell="F25" sqref="F25"/>
    </sheetView>
  </sheetViews>
  <sheetFormatPr baseColWidth="10" defaultRowHeight="16" x14ac:dyDescent="0.2"/>
  <sheetData>
    <row r="1" spans="1:6" ht="20" x14ac:dyDescent="0.25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6" t="s">
        <v>5</v>
      </c>
    </row>
    <row r="2" spans="1:6" x14ac:dyDescent="0.2">
      <c r="A2" s="18">
        <v>46081</v>
      </c>
      <c r="B2" t="s">
        <v>11</v>
      </c>
      <c r="C2" t="s">
        <v>38</v>
      </c>
      <c r="D2" t="s">
        <v>59</v>
      </c>
      <c r="F2">
        <v>-3.99</v>
      </c>
    </row>
    <row r="3" spans="1:6" x14ac:dyDescent="0.2">
      <c r="A3" s="18">
        <v>46080</v>
      </c>
      <c r="B3" t="s">
        <v>14</v>
      </c>
      <c r="C3" t="s">
        <v>22</v>
      </c>
      <c r="D3" t="s">
        <v>60</v>
      </c>
      <c r="F3">
        <v>1247.73</v>
      </c>
    </row>
    <row r="4" spans="1:6" x14ac:dyDescent="0.2">
      <c r="A4" s="18">
        <v>46079</v>
      </c>
      <c r="B4" t="s">
        <v>9</v>
      </c>
      <c r="C4" t="s">
        <v>61</v>
      </c>
      <c r="D4" t="s">
        <v>62</v>
      </c>
      <c r="F4">
        <v>-15.07</v>
      </c>
    </row>
    <row r="5" spans="1:6" x14ac:dyDescent="0.2">
      <c r="A5" s="18">
        <v>46079</v>
      </c>
      <c r="B5" t="s">
        <v>11</v>
      </c>
      <c r="C5" t="s">
        <v>63</v>
      </c>
      <c r="D5" t="s">
        <v>64</v>
      </c>
      <c r="F5">
        <v>-71.08</v>
      </c>
    </row>
    <row r="6" spans="1:6" x14ac:dyDescent="0.2">
      <c r="A6" s="18">
        <v>46079</v>
      </c>
      <c r="B6" t="s">
        <v>6</v>
      </c>
      <c r="C6" t="s">
        <v>18</v>
      </c>
      <c r="D6" t="s">
        <v>65</v>
      </c>
      <c r="F6">
        <v>-30</v>
      </c>
    </row>
    <row r="7" spans="1:6" x14ac:dyDescent="0.2">
      <c r="A7" s="18">
        <v>46078</v>
      </c>
      <c r="B7" t="s">
        <v>11</v>
      </c>
      <c r="C7" t="s">
        <v>66</v>
      </c>
      <c r="D7" t="s">
        <v>64</v>
      </c>
      <c r="F7">
        <v>-15</v>
      </c>
    </row>
    <row r="8" spans="1:6" x14ac:dyDescent="0.2">
      <c r="A8" s="18">
        <v>46077</v>
      </c>
      <c r="B8" t="s">
        <v>14</v>
      </c>
      <c r="C8" t="s">
        <v>67</v>
      </c>
      <c r="D8" t="s">
        <v>68</v>
      </c>
      <c r="F8">
        <v>-2.4900000000000002</v>
      </c>
    </row>
    <row r="9" spans="1:6" x14ac:dyDescent="0.2">
      <c r="A9" s="18">
        <v>46077</v>
      </c>
      <c r="B9" t="s">
        <v>14</v>
      </c>
      <c r="C9" t="s">
        <v>67</v>
      </c>
      <c r="D9" t="s">
        <v>68</v>
      </c>
      <c r="F9">
        <v>-3250</v>
      </c>
    </row>
    <row r="10" spans="1:6" x14ac:dyDescent="0.2">
      <c r="A10" s="18">
        <v>46077</v>
      </c>
      <c r="B10" t="s">
        <v>14</v>
      </c>
      <c r="C10" t="s">
        <v>69</v>
      </c>
      <c r="D10" t="s">
        <v>70</v>
      </c>
      <c r="F10">
        <v>1220</v>
      </c>
    </row>
    <row r="11" spans="1:6" x14ac:dyDescent="0.2">
      <c r="A11" s="18">
        <v>46077</v>
      </c>
      <c r="B11" t="s">
        <v>6</v>
      </c>
      <c r="C11" t="s">
        <v>71</v>
      </c>
      <c r="D11" t="s">
        <v>72</v>
      </c>
      <c r="F11">
        <v>-48.14</v>
      </c>
    </row>
    <row r="12" spans="1:6" x14ac:dyDescent="0.2">
      <c r="A12" s="18">
        <v>46076</v>
      </c>
      <c r="B12" t="s">
        <v>6</v>
      </c>
      <c r="C12" t="s">
        <v>73</v>
      </c>
      <c r="D12" t="s">
        <v>8</v>
      </c>
      <c r="F12">
        <v>-4.32</v>
      </c>
    </row>
    <row r="13" spans="1:6" x14ac:dyDescent="0.2">
      <c r="A13" s="18">
        <v>46076</v>
      </c>
      <c r="B13" t="s">
        <v>14</v>
      </c>
      <c r="C13" t="s">
        <v>15</v>
      </c>
      <c r="D13" t="s">
        <v>64</v>
      </c>
      <c r="F13">
        <v>-3.39</v>
      </c>
    </row>
    <row r="14" spans="1:6" x14ac:dyDescent="0.2">
      <c r="A14" s="18">
        <v>46076</v>
      </c>
      <c r="B14" t="s">
        <v>14</v>
      </c>
      <c r="C14" t="s">
        <v>67</v>
      </c>
      <c r="D14" t="s">
        <v>68</v>
      </c>
      <c r="F14">
        <v>-103.24</v>
      </c>
    </row>
    <row r="15" spans="1:6" x14ac:dyDescent="0.2">
      <c r="A15" s="18">
        <v>46075</v>
      </c>
      <c r="B15" t="s">
        <v>9</v>
      </c>
      <c r="C15" t="s">
        <v>74</v>
      </c>
      <c r="D15" t="s">
        <v>75</v>
      </c>
      <c r="F15">
        <v>-95</v>
      </c>
    </row>
    <row r="16" spans="1:6" x14ac:dyDescent="0.2">
      <c r="A16" s="18">
        <v>46075</v>
      </c>
      <c r="B16" t="s">
        <v>9</v>
      </c>
      <c r="C16" t="s">
        <v>61</v>
      </c>
      <c r="D16" t="s">
        <v>62</v>
      </c>
      <c r="F16">
        <v>-15</v>
      </c>
    </row>
    <row r="17" spans="1:6" x14ac:dyDescent="0.2">
      <c r="A17" s="18">
        <v>46074</v>
      </c>
      <c r="B17" t="s">
        <v>6</v>
      </c>
      <c r="C17" t="s">
        <v>76</v>
      </c>
      <c r="D17" t="s">
        <v>62</v>
      </c>
      <c r="F17">
        <v>-2</v>
      </c>
    </row>
    <row r="18" spans="1:6" x14ac:dyDescent="0.2">
      <c r="A18" s="18">
        <v>46073</v>
      </c>
      <c r="B18" t="s">
        <v>9</v>
      </c>
      <c r="C18" t="s">
        <v>76</v>
      </c>
      <c r="D18" t="s">
        <v>62</v>
      </c>
      <c r="F18">
        <v>-7</v>
      </c>
    </row>
    <row r="19" spans="1:6" x14ac:dyDescent="0.2">
      <c r="A19" s="18">
        <v>46073</v>
      </c>
      <c r="B19" t="s">
        <v>9</v>
      </c>
      <c r="C19" t="s">
        <v>76</v>
      </c>
      <c r="D19" t="s">
        <v>62</v>
      </c>
      <c r="F19">
        <v>-15.09</v>
      </c>
    </row>
    <row r="20" spans="1:6" x14ac:dyDescent="0.2">
      <c r="A20" s="18">
        <v>46073</v>
      </c>
      <c r="B20" t="s">
        <v>11</v>
      </c>
      <c r="C20" t="s">
        <v>15</v>
      </c>
      <c r="D20" t="s">
        <v>64</v>
      </c>
      <c r="F20">
        <v>-26.93</v>
      </c>
    </row>
    <row r="21" spans="1:6" x14ac:dyDescent="0.2">
      <c r="A21" s="18">
        <v>46073</v>
      </c>
      <c r="B21" t="s">
        <v>14</v>
      </c>
      <c r="C21" t="s">
        <v>22</v>
      </c>
      <c r="D21" t="s">
        <v>60</v>
      </c>
      <c r="F21">
        <v>1679.85</v>
      </c>
    </row>
    <row r="22" spans="1:6" x14ac:dyDescent="0.2">
      <c r="A22" s="18">
        <v>46073</v>
      </c>
      <c r="B22" t="s">
        <v>6</v>
      </c>
      <c r="C22" t="s">
        <v>77</v>
      </c>
      <c r="D22" t="s">
        <v>78</v>
      </c>
      <c r="F22">
        <v>-5.25</v>
      </c>
    </row>
    <row r="23" spans="1:6" x14ac:dyDescent="0.2">
      <c r="A23" s="18">
        <v>46073</v>
      </c>
      <c r="B23" t="s">
        <v>6</v>
      </c>
      <c r="C23" t="s">
        <v>66</v>
      </c>
      <c r="D23" t="s">
        <v>64</v>
      </c>
      <c r="F23">
        <v>-70.19</v>
      </c>
    </row>
    <row r="24" spans="1:6" x14ac:dyDescent="0.2">
      <c r="A24" s="18">
        <v>46073</v>
      </c>
      <c r="B24" t="s">
        <v>6</v>
      </c>
      <c r="C24" t="s">
        <v>79</v>
      </c>
      <c r="D24" t="s">
        <v>78</v>
      </c>
      <c r="F24">
        <v>-3</v>
      </c>
    </row>
    <row r="25" spans="1:6" x14ac:dyDescent="0.2">
      <c r="A25" s="18">
        <v>46073</v>
      </c>
      <c r="B25" t="s">
        <v>6</v>
      </c>
      <c r="C25" t="s">
        <v>79</v>
      </c>
      <c r="D25" t="s">
        <v>78</v>
      </c>
      <c r="F25">
        <v>-8.5</v>
      </c>
    </row>
    <row r="26" spans="1:6" x14ac:dyDescent="0.2">
      <c r="A26" s="18">
        <v>46073</v>
      </c>
      <c r="B26" t="s">
        <v>6</v>
      </c>
      <c r="C26" t="s">
        <v>80</v>
      </c>
      <c r="D26" t="s">
        <v>81</v>
      </c>
      <c r="F26">
        <v>-20</v>
      </c>
    </row>
    <row r="27" spans="1:6" x14ac:dyDescent="0.2">
      <c r="A27" s="18">
        <v>46072</v>
      </c>
      <c r="B27" t="s">
        <v>6</v>
      </c>
      <c r="C27" t="s">
        <v>79</v>
      </c>
      <c r="D27" t="s">
        <v>78</v>
      </c>
      <c r="F27">
        <v>-3</v>
      </c>
    </row>
    <row r="28" spans="1:6" x14ac:dyDescent="0.2">
      <c r="A28" s="18">
        <v>46072</v>
      </c>
      <c r="B28" t="s">
        <v>6</v>
      </c>
      <c r="C28" t="s">
        <v>79</v>
      </c>
      <c r="D28" t="s">
        <v>78</v>
      </c>
      <c r="F28">
        <v>-3</v>
      </c>
    </row>
    <row r="29" spans="1:6" x14ac:dyDescent="0.2">
      <c r="A29" s="18">
        <v>46072</v>
      </c>
      <c r="B29" t="s">
        <v>11</v>
      </c>
      <c r="C29" t="s">
        <v>82</v>
      </c>
      <c r="D29" t="s">
        <v>64</v>
      </c>
      <c r="F29">
        <v>-12.21</v>
      </c>
    </row>
    <row r="30" spans="1:6" x14ac:dyDescent="0.2">
      <c r="A30" s="18">
        <v>46071</v>
      </c>
      <c r="B30" t="s">
        <v>9</v>
      </c>
      <c r="C30" t="s">
        <v>83</v>
      </c>
      <c r="D30" t="s">
        <v>62</v>
      </c>
      <c r="F30">
        <v>-11.92</v>
      </c>
    </row>
    <row r="31" spans="1:6" x14ac:dyDescent="0.2">
      <c r="A31" s="18">
        <v>46071</v>
      </c>
      <c r="B31" t="s">
        <v>11</v>
      </c>
      <c r="C31" t="s">
        <v>38</v>
      </c>
      <c r="D31" t="s">
        <v>59</v>
      </c>
      <c r="F31">
        <v>-2.99</v>
      </c>
    </row>
    <row r="32" spans="1:6" x14ac:dyDescent="0.2">
      <c r="A32" s="18">
        <v>46071</v>
      </c>
      <c r="B32" t="s">
        <v>11</v>
      </c>
      <c r="C32" t="s">
        <v>63</v>
      </c>
      <c r="D32" t="s">
        <v>64</v>
      </c>
      <c r="F32">
        <v>-21.32</v>
      </c>
    </row>
    <row r="33" spans="1:6" x14ac:dyDescent="0.2">
      <c r="A33" s="18">
        <v>46070</v>
      </c>
      <c r="B33" t="s">
        <v>9</v>
      </c>
      <c r="C33" t="s">
        <v>45</v>
      </c>
      <c r="D33" t="s">
        <v>62</v>
      </c>
      <c r="F33">
        <v>-10.09</v>
      </c>
    </row>
    <row r="34" spans="1:6" x14ac:dyDescent="0.2">
      <c r="A34" s="18">
        <v>46070</v>
      </c>
      <c r="B34" t="s">
        <v>9</v>
      </c>
      <c r="C34" t="s">
        <v>28</v>
      </c>
      <c r="D34" t="s">
        <v>81</v>
      </c>
      <c r="F34">
        <v>-1.99</v>
      </c>
    </row>
    <row r="35" spans="1:6" x14ac:dyDescent="0.2">
      <c r="A35" s="18">
        <v>46070</v>
      </c>
      <c r="B35" t="s">
        <v>6</v>
      </c>
      <c r="C35" t="s">
        <v>84</v>
      </c>
      <c r="D35" t="s">
        <v>85</v>
      </c>
      <c r="F35">
        <v>-135.82</v>
      </c>
    </row>
    <row r="36" spans="1:6" x14ac:dyDescent="0.2">
      <c r="A36" s="18">
        <v>46070</v>
      </c>
      <c r="B36" t="s">
        <v>14</v>
      </c>
      <c r="C36" t="s">
        <v>86</v>
      </c>
      <c r="D36" t="s">
        <v>87</v>
      </c>
      <c r="F36">
        <v>-31.89</v>
      </c>
    </row>
    <row r="37" spans="1:6" x14ac:dyDescent="0.2">
      <c r="A37" s="18">
        <v>46070</v>
      </c>
      <c r="B37" t="s">
        <v>14</v>
      </c>
      <c r="C37" t="s">
        <v>86</v>
      </c>
      <c r="D37" t="s">
        <v>87</v>
      </c>
      <c r="F37">
        <v>-100</v>
      </c>
    </row>
    <row r="38" spans="1:6" x14ac:dyDescent="0.2">
      <c r="A38" s="18">
        <v>46069</v>
      </c>
      <c r="B38" t="s">
        <v>9</v>
      </c>
      <c r="C38" t="s">
        <v>21</v>
      </c>
      <c r="D38" t="s">
        <v>62</v>
      </c>
      <c r="F38">
        <v>-12.36</v>
      </c>
    </row>
    <row r="39" spans="1:6" x14ac:dyDescent="0.2">
      <c r="A39" s="18">
        <v>46069</v>
      </c>
      <c r="B39" t="s">
        <v>6</v>
      </c>
      <c r="C39" t="s">
        <v>88</v>
      </c>
      <c r="D39" t="s">
        <v>8</v>
      </c>
      <c r="F39">
        <v>-1.79</v>
      </c>
    </row>
    <row r="40" spans="1:6" x14ac:dyDescent="0.2">
      <c r="A40" s="18">
        <v>46069</v>
      </c>
      <c r="B40" t="s">
        <v>6</v>
      </c>
      <c r="C40" t="s">
        <v>89</v>
      </c>
      <c r="D40" t="s">
        <v>90</v>
      </c>
      <c r="F40">
        <v>-250.41</v>
      </c>
    </row>
    <row r="41" spans="1:6" x14ac:dyDescent="0.2">
      <c r="A41" s="18">
        <v>46069</v>
      </c>
      <c r="B41" t="s">
        <v>6</v>
      </c>
      <c r="C41" t="s">
        <v>88</v>
      </c>
      <c r="D41" t="s">
        <v>8</v>
      </c>
      <c r="F41">
        <v>-2.75</v>
      </c>
    </row>
    <row r="42" spans="1:6" x14ac:dyDescent="0.2">
      <c r="A42" s="18">
        <v>46067</v>
      </c>
      <c r="B42" t="s">
        <v>9</v>
      </c>
      <c r="C42" t="s">
        <v>88</v>
      </c>
      <c r="D42" t="s">
        <v>8</v>
      </c>
      <c r="F42">
        <v>-13.78</v>
      </c>
    </row>
    <row r="43" spans="1:6" x14ac:dyDescent="0.2">
      <c r="A43" s="18">
        <v>46067</v>
      </c>
      <c r="B43" t="s">
        <v>9</v>
      </c>
      <c r="C43" t="s">
        <v>88</v>
      </c>
      <c r="D43" t="s">
        <v>8</v>
      </c>
      <c r="F43">
        <v>-12.07</v>
      </c>
    </row>
    <row r="44" spans="1:6" x14ac:dyDescent="0.2">
      <c r="A44" s="18">
        <v>46067</v>
      </c>
      <c r="B44" t="s">
        <v>6</v>
      </c>
      <c r="C44" t="s">
        <v>24</v>
      </c>
      <c r="D44" t="s">
        <v>62</v>
      </c>
      <c r="F44">
        <v>-17.28</v>
      </c>
    </row>
    <row r="45" spans="1:6" x14ac:dyDescent="0.2">
      <c r="A45" s="18">
        <v>46067</v>
      </c>
      <c r="B45" t="s">
        <v>6</v>
      </c>
      <c r="C45" t="s">
        <v>91</v>
      </c>
      <c r="D45" t="s">
        <v>81</v>
      </c>
      <c r="F45">
        <v>-10</v>
      </c>
    </row>
    <row r="46" spans="1:6" x14ac:dyDescent="0.2">
      <c r="A46" s="18">
        <v>46066</v>
      </c>
      <c r="B46" t="s">
        <v>6</v>
      </c>
      <c r="C46" t="s">
        <v>92</v>
      </c>
      <c r="D46" t="s">
        <v>93</v>
      </c>
      <c r="F46">
        <v>-206.86</v>
      </c>
    </row>
    <row r="47" spans="1:6" x14ac:dyDescent="0.2">
      <c r="A47" s="18">
        <v>46065</v>
      </c>
      <c r="B47" t="s">
        <v>9</v>
      </c>
      <c r="C47" t="s">
        <v>94</v>
      </c>
      <c r="D47" t="s">
        <v>62</v>
      </c>
      <c r="F47">
        <v>-15.79</v>
      </c>
    </row>
    <row r="48" spans="1:6" x14ac:dyDescent="0.2">
      <c r="A48" s="18">
        <v>46064</v>
      </c>
      <c r="B48" t="s">
        <v>9</v>
      </c>
      <c r="C48" t="s">
        <v>95</v>
      </c>
      <c r="D48" t="s">
        <v>62</v>
      </c>
      <c r="F48">
        <v>-12.04</v>
      </c>
    </row>
    <row r="49" spans="1:6" x14ac:dyDescent="0.2">
      <c r="A49" s="18">
        <v>46063</v>
      </c>
      <c r="B49" t="s">
        <v>9</v>
      </c>
      <c r="C49" t="s">
        <v>96</v>
      </c>
      <c r="D49" t="s">
        <v>62</v>
      </c>
      <c r="F49">
        <v>-19.8</v>
      </c>
    </row>
    <row r="50" spans="1:6" x14ac:dyDescent="0.2">
      <c r="A50" s="18">
        <v>46063</v>
      </c>
      <c r="B50" t="s">
        <v>9</v>
      </c>
      <c r="C50" t="s">
        <v>97</v>
      </c>
      <c r="D50" t="s">
        <v>62</v>
      </c>
      <c r="F50">
        <v>-12.02</v>
      </c>
    </row>
    <row r="51" spans="1:6" x14ac:dyDescent="0.2">
      <c r="A51" s="18">
        <v>46063</v>
      </c>
      <c r="B51" t="s">
        <v>14</v>
      </c>
      <c r="C51" t="s">
        <v>15</v>
      </c>
      <c r="D51" t="s">
        <v>64</v>
      </c>
      <c r="F51">
        <v>-28.5</v>
      </c>
    </row>
    <row r="52" spans="1:6" x14ac:dyDescent="0.2">
      <c r="A52" s="18">
        <v>46063</v>
      </c>
      <c r="B52" t="s">
        <v>6</v>
      </c>
      <c r="C52" t="s">
        <v>98</v>
      </c>
      <c r="D52" t="s">
        <v>75</v>
      </c>
      <c r="F52">
        <v>-5</v>
      </c>
    </row>
    <row r="53" spans="1:6" x14ac:dyDescent="0.2">
      <c r="A53" s="18">
        <v>46063</v>
      </c>
      <c r="B53" t="s">
        <v>6</v>
      </c>
      <c r="C53" t="s">
        <v>98</v>
      </c>
      <c r="D53" t="s">
        <v>75</v>
      </c>
      <c r="F53">
        <v>-5</v>
      </c>
    </row>
    <row r="54" spans="1:6" x14ac:dyDescent="0.2">
      <c r="A54" s="18">
        <v>46063</v>
      </c>
      <c r="B54" t="s">
        <v>6</v>
      </c>
      <c r="C54" t="s">
        <v>98</v>
      </c>
      <c r="D54" t="s">
        <v>75</v>
      </c>
      <c r="F54">
        <v>-4.25</v>
      </c>
    </row>
    <row r="55" spans="1:6" x14ac:dyDescent="0.2">
      <c r="A55" s="18">
        <v>46062</v>
      </c>
      <c r="B55" t="s">
        <v>6</v>
      </c>
      <c r="C55" t="s">
        <v>88</v>
      </c>
      <c r="D55" t="s">
        <v>8</v>
      </c>
      <c r="F55">
        <v>-2.12</v>
      </c>
    </row>
    <row r="56" spans="1:6" x14ac:dyDescent="0.2">
      <c r="A56" s="18">
        <v>46062</v>
      </c>
      <c r="B56" t="s">
        <v>6</v>
      </c>
      <c r="C56" t="s">
        <v>88</v>
      </c>
      <c r="D56" t="s">
        <v>8</v>
      </c>
      <c r="F56">
        <v>-6.54</v>
      </c>
    </row>
    <row r="57" spans="1:6" x14ac:dyDescent="0.2">
      <c r="A57" s="18">
        <v>46062</v>
      </c>
      <c r="B57" t="s">
        <v>9</v>
      </c>
      <c r="C57" t="s">
        <v>21</v>
      </c>
      <c r="D57" t="s">
        <v>62</v>
      </c>
      <c r="F57">
        <v>-12.36</v>
      </c>
    </row>
    <row r="58" spans="1:6" x14ac:dyDescent="0.2">
      <c r="A58" s="18">
        <v>46062</v>
      </c>
      <c r="B58" t="s">
        <v>11</v>
      </c>
      <c r="C58" t="s">
        <v>82</v>
      </c>
      <c r="D58" t="s">
        <v>64</v>
      </c>
      <c r="F58">
        <v>39.99</v>
      </c>
    </row>
    <row r="59" spans="1:6" x14ac:dyDescent="0.2">
      <c r="A59" s="18">
        <v>46062</v>
      </c>
      <c r="B59" t="s">
        <v>11</v>
      </c>
      <c r="C59" t="s">
        <v>82</v>
      </c>
      <c r="D59" t="s">
        <v>64</v>
      </c>
      <c r="F59">
        <v>43.99</v>
      </c>
    </row>
    <row r="60" spans="1:6" x14ac:dyDescent="0.2">
      <c r="A60" s="18">
        <v>46062</v>
      </c>
      <c r="B60" t="s">
        <v>11</v>
      </c>
      <c r="C60" t="s">
        <v>82</v>
      </c>
      <c r="D60" t="s">
        <v>64</v>
      </c>
      <c r="F60">
        <v>6.52</v>
      </c>
    </row>
    <row r="61" spans="1:6" x14ac:dyDescent="0.2">
      <c r="A61" s="18">
        <v>46062</v>
      </c>
      <c r="B61" t="s">
        <v>11</v>
      </c>
      <c r="C61" t="s">
        <v>82</v>
      </c>
      <c r="D61" t="s">
        <v>64</v>
      </c>
      <c r="F61">
        <v>35.090000000000003</v>
      </c>
    </row>
    <row r="62" spans="1:6" x14ac:dyDescent="0.2">
      <c r="A62" s="18">
        <v>46061</v>
      </c>
      <c r="B62" t="s">
        <v>11</v>
      </c>
      <c r="C62" t="s">
        <v>63</v>
      </c>
      <c r="D62" t="s">
        <v>64</v>
      </c>
      <c r="F62">
        <v>-114.31</v>
      </c>
    </row>
    <row r="63" spans="1:6" x14ac:dyDescent="0.2">
      <c r="A63" s="18">
        <v>46060</v>
      </c>
      <c r="B63" t="s">
        <v>9</v>
      </c>
      <c r="C63" t="s">
        <v>99</v>
      </c>
      <c r="D63" t="s">
        <v>62</v>
      </c>
      <c r="F63">
        <v>-18.100000000000001</v>
      </c>
    </row>
    <row r="64" spans="1:6" x14ac:dyDescent="0.2">
      <c r="A64" s="18">
        <v>46060</v>
      </c>
      <c r="B64" t="s">
        <v>11</v>
      </c>
      <c r="C64" t="s">
        <v>38</v>
      </c>
      <c r="D64" t="s">
        <v>59</v>
      </c>
      <c r="F64">
        <v>-9.99</v>
      </c>
    </row>
    <row r="65" spans="1:6" x14ac:dyDescent="0.2">
      <c r="A65" s="18">
        <v>46059</v>
      </c>
      <c r="B65" t="s">
        <v>14</v>
      </c>
      <c r="C65" t="s">
        <v>22</v>
      </c>
      <c r="D65" t="s">
        <v>60</v>
      </c>
      <c r="F65">
        <v>1425.65</v>
      </c>
    </row>
    <row r="66" spans="1:6" x14ac:dyDescent="0.2">
      <c r="A66" s="18">
        <v>46059</v>
      </c>
      <c r="B66" t="s">
        <v>6</v>
      </c>
      <c r="C66" t="s">
        <v>39</v>
      </c>
      <c r="D66" t="s">
        <v>8</v>
      </c>
      <c r="F66">
        <v>-56.21</v>
      </c>
    </row>
    <row r="67" spans="1:6" x14ac:dyDescent="0.2">
      <c r="A67" s="18">
        <v>46057</v>
      </c>
      <c r="B67" t="s">
        <v>11</v>
      </c>
      <c r="C67" t="s">
        <v>63</v>
      </c>
      <c r="D67" t="s">
        <v>64</v>
      </c>
      <c r="F67">
        <v>-44.99</v>
      </c>
    </row>
    <row r="68" spans="1:6" x14ac:dyDescent="0.2">
      <c r="A68" s="18">
        <v>46057</v>
      </c>
      <c r="B68" t="s">
        <v>6</v>
      </c>
      <c r="C68" t="s">
        <v>98</v>
      </c>
      <c r="D68" t="s">
        <v>75</v>
      </c>
      <c r="F68">
        <v>-1.99</v>
      </c>
    </row>
    <row r="69" spans="1:6" x14ac:dyDescent="0.2">
      <c r="A69" s="18">
        <v>46056</v>
      </c>
      <c r="B69" t="s">
        <v>6</v>
      </c>
      <c r="C69" t="s">
        <v>100</v>
      </c>
      <c r="D69" t="s">
        <v>78</v>
      </c>
      <c r="F69">
        <v>-5.6</v>
      </c>
    </row>
    <row r="70" spans="1:6" x14ac:dyDescent="0.2">
      <c r="A70" s="18">
        <v>46056</v>
      </c>
      <c r="B70" t="s">
        <v>9</v>
      </c>
      <c r="C70" t="s">
        <v>101</v>
      </c>
      <c r="D70" t="s">
        <v>62</v>
      </c>
      <c r="F70">
        <v>-5.39</v>
      </c>
    </row>
    <row r="71" spans="1:6" x14ac:dyDescent="0.2">
      <c r="A71" s="18">
        <v>46056</v>
      </c>
      <c r="B71" t="s">
        <v>9</v>
      </c>
      <c r="C71" t="s">
        <v>101</v>
      </c>
      <c r="D71" t="s">
        <v>62</v>
      </c>
      <c r="F71">
        <v>-2.99</v>
      </c>
    </row>
    <row r="72" spans="1:6" x14ac:dyDescent="0.2">
      <c r="A72" s="18">
        <v>46055</v>
      </c>
      <c r="B72" t="s">
        <v>9</v>
      </c>
      <c r="C72" t="s">
        <v>45</v>
      </c>
      <c r="D72" t="s">
        <v>62</v>
      </c>
      <c r="F72">
        <v>-4.1100000000000003</v>
      </c>
    </row>
    <row r="73" spans="1:6" x14ac:dyDescent="0.2">
      <c r="A73" s="18">
        <v>46055</v>
      </c>
      <c r="B73" t="s">
        <v>9</v>
      </c>
      <c r="C73" t="s">
        <v>102</v>
      </c>
      <c r="D73" t="s">
        <v>75</v>
      </c>
      <c r="F73">
        <v>-6.79</v>
      </c>
    </row>
    <row r="74" spans="1:6" x14ac:dyDescent="0.2">
      <c r="A74" s="18">
        <v>46055</v>
      </c>
      <c r="B74" t="s">
        <v>11</v>
      </c>
      <c r="C74" t="s">
        <v>82</v>
      </c>
      <c r="D74" t="s">
        <v>64</v>
      </c>
      <c r="F74">
        <v>-39.18</v>
      </c>
    </row>
    <row r="75" spans="1:6" x14ac:dyDescent="0.2">
      <c r="A75" s="18">
        <v>46055</v>
      </c>
      <c r="B75" t="s">
        <v>6</v>
      </c>
      <c r="C75" t="s">
        <v>103</v>
      </c>
      <c r="D75" t="s">
        <v>85</v>
      </c>
      <c r="F75">
        <v>-83.59</v>
      </c>
    </row>
    <row r="76" spans="1:6" x14ac:dyDescent="0.2">
      <c r="A76" s="18">
        <v>46055</v>
      </c>
      <c r="B76" t="s">
        <v>6</v>
      </c>
      <c r="C76" t="s">
        <v>104</v>
      </c>
      <c r="D76" t="s">
        <v>105</v>
      </c>
      <c r="F76">
        <v>2325.96</v>
      </c>
    </row>
    <row r="77" spans="1:6" x14ac:dyDescent="0.2">
      <c r="A77" s="18">
        <v>46055</v>
      </c>
      <c r="B77" t="s">
        <v>6</v>
      </c>
      <c r="C77" t="s">
        <v>106</v>
      </c>
      <c r="D77" t="s">
        <v>87</v>
      </c>
      <c r="F77">
        <v>-150</v>
      </c>
    </row>
    <row r="78" spans="1:6" x14ac:dyDescent="0.2">
      <c r="A78" s="18">
        <v>46055</v>
      </c>
      <c r="B78" t="s">
        <v>14</v>
      </c>
      <c r="C78" t="s">
        <v>107</v>
      </c>
      <c r="D78" t="s">
        <v>105</v>
      </c>
      <c r="F78">
        <v>-157.53</v>
      </c>
    </row>
    <row r="79" spans="1:6" x14ac:dyDescent="0.2">
      <c r="A79" s="18">
        <v>46055</v>
      </c>
      <c r="B79" t="s">
        <v>14</v>
      </c>
      <c r="C79" t="s">
        <v>104</v>
      </c>
      <c r="D79" t="s">
        <v>105</v>
      </c>
      <c r="F79">
        <v>-2325.96</v>
      </c>
    </row>
    <row r="80" spans="1:6" x14ac:dyDescent="0.2">
      <c r="A80" s="18">
        <v>46055</v>
      </c>
      <c r="B80" t="s">
        <v>14</v>
      </c>
      <c r="C80" t="s">
        <v>108</v>
      </c>
      <c r="D80" t="s">
        <v>105</v>
      </c>
      <c r="F80">
        <v>-6790.53</v>
      </c>
    </row>
    <row r="81" spans="1:6" x14ac:dyDescent="0.2">
      <c r="A81" s="18">
        <v>46055</v>
      </c>
      <c r="B81" t="s">
        <v>14</v>
      </c>
      <c r="C81" t="s">
        <v>22</v>
      </c>
      <c r="D81" t="s">
        <v>60</v>
      </c>
      <c r="F81">
        <v>39.99</v>
      </c>
    </row>
    <row r="82" spans="1:6" x14ac:dyDescent="0.2">
      <c r="A82" s="18">
        <v>46055</v>
      </c>
      <c r="B82" t="s">
        <v>11</v>
      </c>
      <c r="C82" t="s">
        <v>82</v>
      </c>
      <c r="D82" t="s">
        <v>64</v>
      </c>
      <c r="F82">
        <v>-35.090000000000003</v>
      </c>
    </row>
    <row r="83" spans="1:6" x14ac:dyDescent="0.2">
      <c r="A83" s="18">
        <v>46054</v>
      </c>
      <c r="B83" t="s">
        <v>9</v>
      </c>
      <c r="C83" t="s">
        <v>109</v>
      </c>
      <c r="D83" t="s">
        <v>105</v>
      </c>
      <c r="F83">
        <v>157.53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A0478-ABEC-004C-B9F4-288758A52401}">
  <dimension ref="A1:E5"/>
  <sheetViews>
    <sheetView workbookViewId="0">
      <selection activeCell="D11" sqref="D11"/>
    </sheetView>
  </sheetViews>
  <sheetFormatPr baseColWidth="10" defaultRowHeight="16" x14ac:dyDescent="0.2"/>
  <cols>
    <col min="2" max="2" width="18.1640625" bestFit="1" customWidth="1"/>
    <col min="3" max="3" width="13.5" bestFit="1" customWidth="1"/>
    <col min="4" max="4" width="36.5" bestFit="1" customWidth="1"/>
  </cols>
  <sheetData>
    <row r="1" spans="1:5" ht="20" x14ac:dyDescent="0.25">
      <c r="A1" s="14" t="s">
        <v>0</v>
      </c>
      <c r="B1" s="15" t="s">
        <v>1</v>
      </c>
      <c r="C1" s="15" t="s">
        <v>2</v>
      </c>
      <c r="D1" s="16" t="s">
        <v>5</v>
      </c>
    </row>
    <row r="2" spans="1:5" ht="20" x14ac:dyDescent="0.25">
      <c r="A2" s="6">
        <v>46024</v>
      </c>
      <c r="B2" s="7" t="s">
        <v>22</v>
      </c>
      <c r="C2" s="17">
        <v>1123.56</v>
      </c>
      <c r="D2" s="8" t="s">
        <v>14</v>
      </c>
      <c r="E2" s="7"/>
    </row>
    <row r="3" spans="1:5" ht="20" x14ac:dyDescent="0.25">
      <c r="A3" s="6">
        <v>46031</v>
      </c>
      <c r="B3" s="7" t="s">
        <v>22</v>
      </c>
      <c r="C3" s="17">
        <f>1525.1+262.24</f>
        <v>1787.34</v>
      </c>
      <c r="D3" s="8" t="s">
        <v>14</v>
      </c>
      <c r="E3" s="7"/>
    </row>
    <row r="4" spans="1:5" ht="20" x14ac:dyDescent="0.25">
      <c r="A4" s="6">
        <v>46038</v>
      </c>
      <c r="B4" s="7" t="s">
        <v>22</v>
      </c>
      <c r="C4" s="17">
        <v>1242.58</v>
      </c>
      <c r="D4" s="8" t="s">
        <v>14</v>
      </c>
      <c r="E4" s="7"/>
    </row>
    <row r="5" spans="1:5" ht="20" x14ac:dyDescent="0.25">
      <c r="A5" s="6">
        <v>46045</v>
      </c>
      <c r="B5" s="7" t="s">
        <v>22</v>
      </c>
      <c r="C5" s="17">
        <v>1425.66</v>
      </c>
      <c r="D5" s="8" t="s">
        <v>14</v>
      </c>
      <c r="E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 '26</vt:lpstr>
      <vt:lpstr>Feb '26</vt:lpstr>
      <vt:lpstr>Salary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Bora, Rohan</dc:creator>
  <cp:lastModifiedBy>Bora, Rohan</cp:lastModifiedBy>
  <dcterms:created xsi:type="dcterms:W3CDTF">2026-02-01T03:20:11Z</dcterms:created>
  <dcterms:modified xsi:type="dcterms:W3CDTF">2026-03-14T03:37:54Z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2026-02-01T03:20:52Z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4174ab1c-19ed-4f72-88b7-cfa49df157a6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