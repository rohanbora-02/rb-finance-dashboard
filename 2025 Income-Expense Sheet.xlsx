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ohanbo/Desktop/Rohan/Finances/"/>
    </mc:Choice>
  </mc:AlternateContent>
  <xr:revisionPtr revIDLastSave="0" documentId="13_ncr:1_{AEA9610C-C4D2-BB41-8F26-7CF9DEA7570E}" xr6:coauthVersionLast="47" xr6:coauthVersionMax="47" xr10:uidLastSave="{00000000-0000-0000-0000-000000000000}"/>
  <bookViews>
    <workbookView xWindow="1900" yWindow="1720" windowWidth="27240" windowHeight="16380" activeTab="10" xr2:uid="{DB0EB87B-B801-4545-B8C3-D3D548539B6C}"/>
  </bookViews>
  <sheets>
    <sheet name="Jan'25" sheetId="1" r:id="rId1"/>
    <sheet name="Feb'25" sheetId="3" r:id="rId2"/>
    <sheet name="Mar'25" sheetId="4" r:id="rId3"/>
    <sheet name="April'25" sheetId="5" r:id="rId4"/>
    <sheet name="May'25" sheetId="6" r:id="rId5"/>
    <sheet name="Jun'25" sheetId="7" r:id="rId6"/>
    <sheet name="July'25" sheetId="8" r:id="rId7"/>
    <sheet name="Sep'25" sheetId="9" r:id="rId8"/>
    <sheet name="Oct'25" sheetId="10" r:id="rId9"/>
    <sheet name="Nov '25" sheetId="11" r:id="rId10"/>
    <sheet name="Dec '25" sheetId="12" r:id="rId11"/>
    <sheet name="AWS Paychecks" sheetId="2" r:id="rId12"/>
  </sheets>
  <definedNames>
    <definedName name="_xlnm._FilterDatabase" localSheetId="10" hidden="1">'Dec ''25'!$A$1:$G$1</definedName>
    <definedName name="_xlnm._FilterDatabase" localSheetId="4" hidden="1">'May''25'!$A$1:$F$44</definedName>
    <definedName name="_xlnm._FilterDatabase" localSheetId="8" hidden="1">'Oct''25'!$A$1:$F$73</definedName>
    <definedName name="_xlnm._FilterDatabase" localSheetId="7" hidden="1">'Sep''25'!$A$1:$F$64</definedName>
  </definedNames>
  <calcPr calcId="191029"/>
  <pivotCaches>
    <pivotCache cacheId="39" r:id="rId13"/>
    <pivotCache cacheId="40" r:id="rId14"/>
    <pivotCache cacheId="41" r:id="rId15"/>
    <pivotCache cacheId="42" r:id="rId16"/>
    <pivotCache cacheId="43" r:id="rId17"/>
    <pivotCache cacheId="44" r:id="rId18"/>
    <pivotCache cacheId="45" r:id="rId19"/>
    <pivotCache cacheId="46" r:id="rId20"/>
    <pivotCache cacheId="47" r:id="rId21"/>
    <pivotCache cacheId="48" r:id="rId22"/>
    <pivotCache cacheId="49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2" l="1"/>
  <c r="E31" i="12"/>
  <c r="E51" i="12"/>
  <c r="E40" i="2"/>
  <c r="E54" i="12"/>
  <c r="E41" i="2"/>
  <c r="E42" i="2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4" i="12"/>
  <c r="E25" i="12"/>
  <c r="E26" i="12"/>
  <c r="E27" i="12"/>
  <c r="E28" i="12"/>
  <c r="E29" i="12"/>
  <c r="E30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2" i="12"/>
  <c r="E53" i="12"/>
  <c r="E55" i="12"/>
  <c r="E56" i="12"/>
  <c r="E57" i="12"/>
  <c r="E58" i="12"/>
  <c r="E59" i="12"/>
  <c r="E60" i="12"/>
  <c r="E39" i="2"/>
  <c r="E38" i="2"/>
  <c r="E36" i="2"/>
  <c r="E35" i="2"/>
  <c r="D37" i="2"/>
  <c r="D4" i="11"/>
  <c r="D3" i="11"/>
  <c r="D65" i="10"/>
  <c r="D66" i="10"/>
  <c r="D67" i="10"/>
  <c r="D44" i="11"/>
  <c r="D36" i="11"/>
  <c r="D30" i="2"/>
  <c r="D2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7" i="11"/>
  <c r="D38" i="11"/>
  <c r="D39" i="11"/>
  <c r="D40" i="11"/>
  <c r="D41" i="11"/>
  <c r="D42" i="11"/>
  <c r="D43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34" i="2"/>
  <c r="D33" i="2"/>
  <c r="D32" i="2"/>
  <c r="D31" i="2"/>
  <c r="D29" i="2"/>
  <c r="D72" i="10"/>
  <c r="D28" i="2"/>
  <c r="D27" i="2"/>
  <c r="D26" i="2"/>
  <c r="D49" i="10"/>
  <c r="D23" i="2"/>
  <c r="D25" i="2"/>
  <c r="D44" i="10"/>
  <c r="C43" i="2"/>
  <c r="D51" i="10"/>
  <c r="D40" i="10"/>
  <c r="D52" i="10"/>
  <c r="D55" i="10"/>
  <c r="D62" i="10"/>
  <c r="D61" i="10"/>
  <c r="D73" i="10"/>
  <c r="D68" i="10"/>
  <c r="D69" i="10"/>
  <c r="D71" i="10"/>
  <c r="D70" i="10"/>
  <c r="D58" i="10"/>
  <c r="D59" i="10"/>
  <c r="D60" i="10"/>
  <c r="D63" i="10"/>
  <c r="D64" i="10"/>
  <c r="D54" i="10"/>
  <c r="D56" i="10"/>
  <c r="D57" i="10"/>
  <c r="D53" i="10"/>
  <c r="D50" i="10"/>
  <c r="D48" i="10"/>
  <c r="D46" i="10"/>
  <c r="D47" i="10"/>
  <c r="D45" i="10"/>
  <c r="D41" i="10"/>
  <c r="D42" i="10"/>
  <c r="D43" i="10"/>
  <c r="D39" i="10"/>
  <c r="D38" i="10"/>
  <c r="D32" i="10"/>
  <c r="D33" i="10"/>
  <c r="D34" i="10"/>
  <c r="D35" i="10"/>
  <c r="D36" i="10"/>
  <c r="D37" i="10"/>
  <c r="D27" i="10"/>
  <c r="D28" i="10"/>
  <c r="D29" i="10"/>
  <c r="D30" i="10"/>
  <c r="D31" i="10"/>
  <c r="D24" i="10"/>
  <c r="D25" i="10"/>
  <c r="D26" i="10"/>
  <c r="D16" i="10"/>
  <c r="D17" i="10"/>
  <c r="D18" i="10"/>
  <c r="D19" i="10"/>
  <c r="D20" i="10"/>
  <c r="D21" i="10"/>
  <c r="D22" i="10"/>
  <c r="D23" i="10"/>
  <c r="D15" i="10"/>
  <c r="D9" i="10"/>
  <c r="D10" i="10"/>
  <c r="D11" i="10"/>
  <c r="D12" i="10"/>
  <c r="D13" i="10"/>
  <c r="D14" i="10"/>
  <c r="D8" i="10"/>
  <c r="D2" i="10"/>
  <c r="D3" i="10"/>
  <c r="D4" i="10"/>
  <c r="D5" i="10"/>
  <c r="D6" i="10"/>
  <c r="D7" i="10"/>
  <c r="D64" i="9"/>
  <c r="D37" i="9"/>
  <c r="D42" i="9"/>
  <c r="D6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8" i="9"/>
  <c r="D39" i="9"/>
  <c r="D40" i="9"/>
  <c r="D41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2" i="9"/>
  <c r="D63" i="9"/>
  <c r="D55" i="8"/>
  <c r="D50" i="8"/>
  <c r="D61" i="8"/>
  <c r="D19" i="8"/>
  <c r="D23" i="8"/>
  <c r="D2" i="8"/>
  <c r="D3" i="8"/>
  <c r="D4" i="8"/>
  <c r="D7" i="8"/>
  <c r="D8" i="8"/>
  <c r="D10" i="8"/>
  <c r="D11" i="8"/>
  <c r="D12" i="8"/>
  <c r="D13" i="8"/>
  <c r="D14" i="8"/>
  <c r="D15" i="8"/>
  <c r="D16" i="8"/>
  <c r="D17" i="8"/>
  <c r="D18" i="8"/>
  <c r="D20" i="8"/>
  <c r="D22" i="8"/>
  <c r="D24" i="8"/>
  <c r="D26" i="8"/>
  <c r="D27" i="8"/>
  <c r="D28" i="8"/>
  <c r="D30" i="8"/>
  <c r="D31" i="8"/>
  <c r="D32" i="8"/>
  <c r="D36" i="8"/>
  <c r="D38" i="8"/>
  <c r="D41" i="8"/>
  <c r="D42" i="8"/>
  <c r="D44" i="8"/>
  <c r="D45" i="8"/>
  <c r="D46" i="8"/>
  <c r="D49" i="8"/>
  <c r="D52" i="8"/>
  <c r="D53" i="8"/>
  <c r="D54" i="8"/>
  <c r="D56" i="8"/>
  <c r="D57" i="8"/>
  <c r="D59" i="8"/>
  <c r="D60" i="8"/>
  <c r="D63" i="8"/>
  <c r="D64" i="8"/>
  <c r="D65" i="8"/>
  <c r="D62" i="8"/>
  <c r="D58" i="8"/>
  <c r="D51" i="8"/>
  <c r="D47" i="8"/>
  <c r="D48" i="8"/>
  <c r="D43" i="8"/>
  <c r="D40" i="8"/>
  <c r="D39" i="8"/>
  <c r="D37" i="8"/>
  <c r="D34" i="8"/>
  <c r="D35" i="8"/>
  <c r="D33" i="8"/>
  <c r="D29" i="8"/>
  <c r="D25" i="8"/>
  <c r="D21" i="8"/>
  <c r="D9" i="8"/>
  <c r="D5" i="8"/>
  <c r="D6" i="8"/>
  <c r="D8" i="7"/>
  <c r="D23" i="7"/>
  <c r="D3" i="7"/>
  <c r="D4" i="7"/>
  <c r="D5" i="7"/>
  <c r="D6" i="7"/>
  <c r="D9" i="7"/>
  <c r="D11" i="7"/>
  <c r="D18" i="7"/>
  <c r="D24" i="7"/>
  <c r="D25" i="7"/>
  <c r="D26" i="7"/>
  <c r="D27" i="7"/>
  <c r="D30" i="7"/>
  <c r="D32" i="7"/>
  <c r="D34" i="6"/>
  <c r="D43" i="6"/>
  <c r="D41" i="6"/>
  <c r="D42" i="6"/>
  <c r="D40" i="6"/>
  <c r="D39" i="6"/>
  <c r="D38" i="6"/>
  <c r="D36" i="6"/>
  <c r="D37" i="6"/>
  <c r="D33" i="6"/>
  <c r="D35" i="6"/>
  <c r="D30" i="6"/>
  <c r="D31" i="6"/>
  <c r="D32" i="6"/>
  <c r="D29" i="6"/>
  <c r="D28" i="6"/>
  <c r="D27" i="6"/>
  <c r="D26" i="6"/>
  <c r="D24" i="6"/>
  <c r="D25" i="6"/>
  <c r="D19" i="6"/>
  <c r="D20" i="6"/>
  <c r="D21" i="6"/>
  <c r="D22" i="6"/>
  <c r="D23" i="6"/>
  <c r="D16" i="6"/>
  <c r="D17" i="6"/>
  <c r="D18" i="6"/>
  <c r="D15" i="6"/>
  <c r="D13" i="6"/>
  <c r="D14" i="6"/>
  <c r="D10" i="6"/>
  <c r="D11" i="6"/>
  <c r="D12" i="6"/>
  <c r="D6" i="6"/>
  <c r="D7" i="6"/>
  <c r="D8" i="6"/>
  <c r="D9" i="6"/>
  <c r="D5" i="6"/>
  <c r="D3" i="6"/>
  <c r="D4" i="6"/>
  <c r="D2" i="6"/>
  <c r="D44" i="6"/>
  <c r="D60" i="4"/>
  <c r="D40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24" i="4"/>
  <c r="D25" i="4"/>
  <c r="D61" i="4"/>
  <c r="D26" i="4"/>
  <c r="D3" i="4"/>
  <c r="D41" i="4"/>
  <c r="D38" i="4"/>
  <c r="D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7" i="4"/>
  <c r="D28" i="4"/>
  <c r="D29" i="4"/>
  <c r="D30" i="4"/>
  <c r="D31" i="4"/>
  <c r="D32" i="4"/>
  <c r="D33" i="4"/>
  <c r="D34" i="4"/>
  <c r="D35" i="4"/>
  <c r="D36" i="4"/>
  <c r="D37" i="4"/>
  <c r="D39" i="4"/>
  <c r="D40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46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7" i="3"/>
  <c r="D48" i="3"/>
  <c r="D49" i="3"/>
  <c r="D50" i="3"/>
  <c r="D51" i="3"/>
  <c r="D52" i="3"/>
  <c r="D53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7" i="7" l="1"/>
  <c r="D54" i="1"/>
</calcChain>
</file>

<file path=xl/sharedStrings.xml><?xml version="1.0" encoding="utf-8"?>
<sst xmlns="http://schemas.openxmlformats.org/spreadsheetml/2006/main" count="2240" uniqueCount="317">
  <si>
    <t>Date</t>
  </si>
  <si>
    <t>Description</t>
  </si>
  <si>
    <t>Amount</t>
  </si>
  <si>
    <t>Amount2</t>
  </si>
  <si>
    <t>Category</t>
  </si>
  <si>
    <t>Card</t>
  </si>
  <si>
    <t>Food</t>
  </si>
  <si>
    <t>Credit Card ( ) - Ending in 9734</t>
  </si>
  <si>
    <t>Personal</t>
  </si>
  <si>
    <t>Credit Card - Ending in 7288</t>
  </si>
  <si>
    <t>Trader Joe's</t>
  </si>
  <si>
    <t>Groceries</t>
  </si>
  <si>
    <t>Venture X - Ending in 0381</t>
  </si>
  <si>
    <t>Shopping</t>
  </si>
  <si>
    <t>Travel</t>
  </si>
  <si>
    <t>Apple</t>
  </si>
  <si>
    <t>Entertainment</t>
  </si>
  <si>
    <t>Uber</t>
  </si>
  <si>
    <t>Help.max.com</t>
  </si>
  <si>
    <t>Shrimad Rajchandra Div</t>
  </si>
  <si>
    <t>Amazon Marketplace</t>
  </si>
  <si>
    <t>Checking Account - Ending in 7017</t>
  </si>
  <si>
    <t>Amazon Developers</t>
  </si>
  <si>
    <t>Amazon</t>
  </si>
  <si>
    <t>Vons</t>
  </si>
  <si>
    <t>Ace Hardware</t>
  </si>
  <si>
    <t>Ralphs</t>
  </si>
  <si>
    <t>Thai Chaiyo Tustin</t>
  </si>
  <si>
    <t>Uber Eats</t>
  </si>
  <si>
    <t>Barnes &amp; Noble</t>
  </si>
  <si>
    <t>Target</t>
  </si>
  <si>
    <t>Ebay</t>
  </si>
  <si>
    <t>Previti Pizza</t>
  </si>
  <si>
    <t>X0245 Crunch Greenpoint</t>
  </si>
  <si>
    <t>Amazon Nyc Cafe</t>
  </si>
  <si>
    <t>Emeraldco</t>
  </si>
  <si>
    <t>Chipotle Mexican Grill</t>
  </si>
  <si>
    <t>Avis</t>
  </si>
  <si>
    <t>Uk Visas And Immigration</t>
  </si>
  <si>
    <t>Grand Total</t>
  </si>
  <si>
    <t>Food2</t>
  </si>
  <si>
    <t>VENMO</t>
  </si>
  <si>
    <t>Total:</t>
  </si>
  <si>
    <t>Unknown</t>
  </si>
  <si>
    <t>Total</t>
  </si>
  <si>
    <t>Everyday Eatery</t>
  </si>
  <si>
    <t>Crunch Fitness</t>
  </si>
  <si>
    <t>Venture X - Ending in 3426</t>
  </si>
  <si>
    <t>Whole Foods Market</t>
  </si>
  <si>
    <t>Boomers</t>
  </si>
  <si>
    <t>Delta Air Lines</t>
  </si>
  <si>
    <t>Delta Skymiles Platinum Card ( ) - Ending in 1003</t>
  </si>
  <si>
    <t>John F. Kennedy International Airport</t>
  </si>
  <si>
    <t>La Vera Pizza</t>
  </si>
  <si>
    <t>Paris Baguette</t>
  </si>
  <si>
    <t>Tst* Spicy Moon - Bowery</t>
  </si>
  <si>
    <t>Rei</t>
  </si>
  <si>
    <t>Bleecker's Finest Deli</t>
  </si>
  <si>
    <t>Bank Of America</t>
  </si>
  <si>
    <t>94 Corner Cafe</t>
  </si>
  <si>
    <t>Sprouts Farmers Market</t>
  </si>
  <si>
    <t>Seaside Rackets</t>
  </si>
  <si>
    <t>Tamarack Hair And Nails</t>
  </si>
  <si>
    <t>Google One</t>
  </si>
  <si>
    <t>Buca</t>
  </si>
  <si>
    <t>Restaurants</t>
  </si>
  <si>
    <t>Plumeria Vegetarian Enci</t>
  </si>
  <si>
    <t>Starbucks</t>
  </si>
  <si>
    <t>Taco Bell</t>
  </si>
  <si>
    <t>General Merchandise</t>
  </si>
  <si>
    <t>Cash Rewards Statement Credit</t>
  </si>
  <si>
    <t>Rewards</t>
  </si>
  <si>
    <t>Spectrum</t>
  </si>
  <si>
    <t>Payrange</t>
  </si>
  <si>
    <t>Online Services</t>
  </si>
  <si>
    <t>Wawa</t>
  </si>
  <si>
    <t>Sq *le Petit Monstre</t>
  </si>
  <si>
    <t>Doughnut Plant</t>
  </si>
  <si>
    <t>Joe's Pizza</t>
  </si>
  <si>
    <t>Personal Care</t>
  </si>
  <si>
    <t>Google Cloud Storage</t>
  </si>
  <si>
    <t>Tst* Levain Noho Nyc</t>
  </si>
  <si>
    <t>Masti</t>
  </si>
  <si>
    <t>Maximum Deals</t>
  </si>
  <si>
    <t>Met Museum Of Art</t>
  </si>
  <si>
    <t>Bleecker Farm</t>
  </si>
  <si>
    <t>Best Pizza</t>
  </si>
  <si>
    <t>L'industrie Pizzeria</t>
  </si>
  <si>
    <t>Sq *albero Dei Gelati - D</t>
  </si>
  <si>
    <t>Tompkins Square Bagels</t>
  </si>
  <si>
    <t>Chip City</t>
  </si>
  <si>
    <t>La Pecora Bianca</t>
  </si>
  <si>
    <t>Famous Famiglia</t>
  </si>
  <si>
    <t>West Side Market</t>
  </si>
  <si>
    <t>H Mart</t>
  </si>
  <si>
    <t>The Pickle Guys</t>
  </si>
  <si>
    <t>Grand Street Pizza</t>
  </si>
  <si>
    <t>Essex Market</t>
  </si>
  <si>
    <t>Rent</t>
  </si>
  <si>
    <t>Radisson Hotels</t>
  </si>
  <si>
    <t>Ess-a-bagel, Inc.</t>
  </si>
  <si>
    <t>Sq *the Morning Brew Coff</t>
  </si>
  <si>
    <t>Banana Republic</t>
  </si>
  <si>
    <t>Davidovich Bakery</t>
  </si>
  <si>
    <t>Broadway Bagel</t>
  </si>
  <si>
    <t>Pizza Art</t>
  </si>
  <si>
    <t>Ozen Sushi Asian Fusion</t>
  </si>
  <si>
    <t>Cot*flt</t>
  </si>
  <si>
    <t>Exxonmobil</t>
  </si>
  <si>
    <t>Sq *juby's Smoothies</t>
  </si>
  <si>
    <t>Lyft</t>
  </si>
  <si>
    <t>Row Labels</t>
  </si>
  <si>
    <t>Sum of Amount2</t>
  </si>
  <si>
    <t>Bilt World Elite Mastercard - Ending in 3895</t>
  </si>
  <si>
    <t>Hashi 330 Nyc Inc</t>
  </si>
  <si>
    <t>Ess-a-bagel</t>
  </si>
  <si>
    <t>Grace Street</t>
  </si>
  <si>
    <t>Ridepanda</t>
  </si>
  <si>
    <t>Comewel Limited</t>
  </si>
  <si>
    <t>Nekter Juice Bar</t>
  </si>
  <si>
    <t>Lufthansa</t>
  </si>
  <si>
    <t>Enterprise Rent-a-car</t>
  </si>
  <si>
    <t>Chevron</t>
  </si>
  <si>
    <t>Arco</t>
  </si>
  <si>
    <t>Friendly Doughnuts</t>
  </si>
  <si>
    <t>Sport Clips</t>
  </si>
  <si>
    <t>Personal2</t>
  </si>
  <si>
    <t>Utility Bill</t>
  </si>
  <si>
    <t>Apartment Rent</t>
  </si>
  <si>
    <t>OpenAI Subscription</t>
  </si>
  <si>
    <t>Corner Café</t>
  </si>
  <si>
    <t>Whole Restaurantss Market</t>
  </si>
  <si>
    <t>Amazon - Ice Cube Tray</t>
  </si>
  <si>
    <t>JFK 14 Café</t>
  </si>
  <si>
    <t>Chatgpt</t>
  </si>
  <si>
    <t>Disney Plus</t>
  </si>
  <si>
    <t>Morning Brew</t>
  </si>
  <si>
    <t>Zazzle (Akash Birthday Gift)</t>
  </si>
  <si>
    <t>total</t>
  </si>
  <si>
    <t>Trader Joes</t>
  </si>
  <si>
    <t>Uniqlo</t>
  </si>
  <si>
    <t>Daniels Barbershop</t>
  </si>
  <si>
    <t>Valero</t>
  </si>
  <si>
    <t>Spectrum Bill</t>
  </si>
  <si>
    <t>CSP Annual Fee</t>
  </si>
  <si>
    <t>CSP</t>
  </si>
  <si>
    <t>Joe Juice + Little Italty</t>
  </si>
  <si>
    <t>Made in New York Pizza</t>
  </si>
  <si>
    <t>Potbelly Sandwich Shop</t>
  </si>
  <si>
    <t>Insomnia Cookies</t>
  </si>
  <si>
    <t>JFK Café</t>
  </si>
  <si>
    <t>Thai Specialty</t>
  </si>
  <si>
    <t>Stella Jean's Ice Cream</t>
  </si>
  <si>
    <t>Bagels and Co</t>
  </si>
  <si>
    <t>Han Dynasty</t>
  </si>
  <si>
    <t>Xing Fu</t>
  </si>
  <si>
    <t>Daniel Barbershop</t>
  </si>
  <si>
    <t>Comewelcom</t>
  </si>
  <si>
    <t>Sq *llama Ice Cream</t>
  </si>
  <si>
    <t>Mignosi's Super Foo</t>
  </si>
  <si>
    <t>Fabletics</t>
  </si>
  <si>
    <t>Bps*bilt Rent New York Ny</t>
  </si>
  <si>
    <t>New Times Square Pizza</t>
  </si>
  <si>
    <t>Tst*artichoke Basilles New York Ny</t>
  </si>
  <si>
    <t>Amazon Services</t>
  </si>
  <si>
    <t>Canteen Vending Services</t>
  </si>
  <si>
    <t>Nike</t>
  </si>
  <si>
    <t>Charles Tyrwhitt</t>
  </si>
  <si>
    <t>Cvs Pharmacy</t>
  </si>
  <si>
    <t>Venmo</t>
  </si>
  <si>
    <t>Credit Card ( ) - Ending in 3240</t>
  </si>
  <si>
    <t>Tst* Kossars West End Ave</t>
  </si>
  <si>
    <t>Tst*all Antico Vinaio 14</t>
  </si>
  <si>
    <t>Tal Bagels</t>
  </si>
  <si>
    <t>Tst*artichoke Basilles</t>
  </si>
  <si>
    <t>Microsoft</t>
  </si>
  <si>
    <t>Til*ss Pizza Shack</t>
  </si>
  <si>
    <t>Tst*zuckers Bagels &amp; Sm</t>
  </si>
  <si>
    <t>Bagel To Sandwich</t>
  </si>
  <si>
    <t>Juice Generation</t>
  </si>
  <si>
    <t>Just Salad</t>
  </si>
  <si>
    <t>Sq *biryani Cart</t>
  </si>
  <si>
    <t>H&amp;h Bagels</t>
  </si>
  <si>
    <t>Made In New York</t>
  </si>
  <si>
    <t>Amazon (AC)</t>
  </si>
  <si>
    <t>Amazon (Toothbrush)</t>
  </si>
  <si>
    <t>Other Expenses</t>
  </si>
  <si>
    <t>Pizzaro`s</t>
  </si>
  <si>
    <t>Gary's Car Wash</t>
  </si>
  <si>
    <t>Wendy's</t>
  </si>
  <si>
    <t>Sq *shrimad Rajchandra Mi</t>
  </si>
  <si>
    <t>Paychecks/Salary</t>
  </si>
  <si>
    <t>The-qrcode-generator</t>
  </si>
  <si>
    <t>Patagonia Seattle</t>
  </si>
  <si>
    <t>Talias Steakhouse</t>
  </si>
  <si>
    <t>Super Nice Coffee And Bakery</t>
  </si>
  <si>
    <t>Made In New York New York Ny</t>
  </si>
  <si>
    <t>Liberty Bagels Midtown New York Ny</t>
  </si>
  <si>
    <t>Bravo Pizza</t>
  </si>
  <si>
    <t>Ny Pizza Suprema. New York Ny</t>
  </si>
  <si>
    <t>Citi Bike</t>
  </si>
  <si>
    <t>Lowe's</t>
  </si>
  <si>
    <t>True Value</t>
  </si>
  <si>
    <t>Bagel Talk</t>
  </si>
  <si>
    <t>Tst*pizza Collective</t>
  </si>
  <si>
    <t>Utilities_Sept_25</t>
  </si>
  <si>
    <t>Rent- September 2025</t>
  </si>
  <si>
    <t>Rent Payment Transaction Fee</t>
  </si>
  <si>
    <t>Laundry</t>
  </si>
  <si>
    <t>Ashram</t>
  </si>
  <si>
    <t>7-eleven</t>
  </si>
  <si>
    <t>Rainforestation Nature</t>
  </si>
  <si>
    <t>Cairns Regional Coun</t>
  </si>
  <si>
    <t>The Bottle Of Milk</t>
  </si>
  <si>
    <t>Virgin Austrxxxxxxxxx7044</t>
  </si>
  <si>
    <t>Subway</t>
  </si>
  <si>
    <t>Qantas Airways</t>
  </si>
  <si>
    <t>Yomg Cairns/125 Abbott St</t>
  </si>
  <si>
    <t>Wilson Parking</t>
  </si>
  <si>
    <t>Translink Ticketing</t>
  </si>
  <si>
    <t>Infinity Goldcoast</t>
  </si>
  <si>
    <t>Vista Parking</t>
  </si>
  <si>
    <t>The Syndicate Trust</t>
  </si>
  <si>
    <t>City Of Austin Parking</t>
  </si>
  <si>
    <t>The Great Aussie Sweet</t>
  </si>
  <si>
    <t>Instacart</t>
  </si>
  <si>
    <t>Deli Fresh</t>
  </si>
  <si>
    <t>Birkenstock</t>
  </si>
  <si>
    <t>Key Food</t>
  </si>
  <si>
    <t>Freshy's Deli &amp; Grocery</t>
  </si>
  <si>
    <t>Australia DY</t>
  </si>
  <si>
    <t>Dharampur Café</t>
  </si>
  <si>
    <t>Rent Transaction Fee</t>
  </si>
  <si>
    <t>Sydney-Delhi Flight</t>
  </si>
  <si>
    <t>October Rent (Incl. sublet)</t>
  </si>
  <si>
    <t>JFK 36 Vending Machine</t>
  </si>
  <si>
    <t>Vending Machine</t>
  </si>
  <si>
    <t>iCloud</t>
  </si>
  <si>
    <t>US Ashram Jacket</t>
  </si>
  <si>
    <t>US Ashram Expenses (w/ Nikhil)</t>
  </si>
  <si>
    <t>Blaze Pizza</t>
  </si>
  <si>
    <t>Naked Cafe</t>
  </si>
  <si>
    <t>Los Olivos</t>
  </si>
  <si>
    <t>Dollar Toll Charge</t>
  </si>
  <si>
    <t>Aroma</t>
  </si>
  <si>
    <t>Patel Brothers</t>
  </si>
  <si>
    <t>Frio Gelato</t>
  </si>
  <si>
    <t>Rose Pizza</t>
  </si>
  <si>
    <t>Dos Toros Taqueria</t>
  </si>
  <si>
    <t>Air-india</t>
  </si>
  <si>
    <t>Smarte Carte</t>
  </si>
  <si>
    <t>Bp Service Station</t>
  </si>
  <si>
    <t>Lululemon Athletica</t>
  </si>
  <si>
    <t>Hungry Jack's</t>
  </si>
  <si>
    <t>Transport For Nsw</t>
  </si>
  <si>
    <t>Kid Stuff</t>
  </si>
  <si>
    <t>The Body Shop</t>
  </si>
  <si>
    <t>Lime</t>
  </si>
  <si>
    <t>Lime*pass 6a2s</t>
  </si>
  <si>
    <t>Bari's Pizza Pasta</t>
  </si>
  <si>
    <t>Yo-chi Surry Hills</t>
  </si>
  <si>
    <t>Aldi</t>
  </si>
  <si>
    <t>Nature's Market</t>
  </si>
  <si>
    <t>Sushi Zen</t>
  </si>
  <si>
    <t>Sq *frenchies Bakery &amp; Pa</t>
  </si>
  <si>
    <t>Sq *deli Republic</t>
  </si>
  <si>
    <t>Virgin Australia</t>
  </si>
  <si>
    <t>Stressfreecarrental</t>
  </si>
  <si>
    <t>Dollar Melbourne Fran</t>
  </si>
  <si>
    <t>Avis Budget Group</t>
  </si>
  <si>
    <t>Sq *pidapipo Cbd</t>
  </si>
  <si>
    <t>Luxuryescapes Southbank</t>
  </si>
  <si>
    <t>Qeeq</t>
  </si>
  <si>
    <t>MCG Stadium Tour</t>
  </si>
  <si>
    <t>IDP</t>
  </si>
  <si>
    <t>Kartik Purnima Registration (US Ashram)</t>
  </si>
  <si>
    <t>Priyank Splitiwise Balance</t>
  </si>
  <si>
    <t>Wilson Tennis Grips (Amazon)</t>
  </si>
  <si>
    <t>Utilities</t>
  </si>
  <si>
    <t>Delhi-Bombay Flight</t>
  </si>
  <si>
    <t>New Sheets</t>
  </si>
  <si>
    <t>NY Times Subscription</t>
  </si>
  <si>
    <t>Bombay-Brisbane Flight</t>
  </si>
  <si>
    <t>Brisbane Gas</t>
  </si>
  <si>
    <t>Cairns Car Rental</t>
  </si>
  <si>
    <t>Brisbane Dinner</t>
  </si>
  <si>
    <t>Melbourne Gas</t>
  </si>
  <si>
    <t>Sq *no Chewing Allowed!</t>
  </si>
  <si>
    <t>Van Leeuwen Artisan Ice Cream</t>
  </si>
  <si>
    <t>Mapfre Insurance</t>
  </si>
  <si>
    <t>Insurance</t>
  </si>
  <si>
    <t>Manhattan Valley Cuisine</t>
  </si>
  <si>
    <t>Fines Vic - Internet Melbourne</t>
  </si>
  <si>
    <t>Kohl's</t>
  </si>
  <si>
    <t>Allbirds</t>
  </si>
  <si>
    <t>Marinara</t>
  </si>
  <si>
    <t>Cuisine Of India</t>
  </si>
  <si>
    <t>Sak's Thai Cuisine</t>
  </si>
  <si>
    <t>Zen Ramen &amp; Sushi</t>
  </si>
  <si>
    <t>Time Out M* #id Xx1580 New York Ny</t>
  </si>
  <si>
    <t>Liberty Bagels Midtown</t>
  </si>
  <si>
    <t>Village Square Pizza</t>
  </si>
  <si>
    <t>Peacefood Cafe</t>
  </si>
  <si>
    <t>Amazon Digital Services</t>
  </si>
  <si>
    <t>New York Sports Clubs</t>
  </si>
  <si>
    <t>Sp Flowstatecoffee Bondi Beach</t>
  </si>
  <si>
    <t>Breakfast Club</t>
  </si>
  <si>
    <t>Five Below</t>
  </si>
  <si>
    <t>Dollar Tree</t>
  </si>
  <si>
    <t>Homegoods</t>
  </si>
  <si>
    <t>Tj Maxx</t>
  </si>
  <si>
    <t>Solaris Q278</t>
  </si>
  <si>
    <t xml:space="preserve">Amount </t>
  </si>
  <si>
    <t>BAPA Offering</t>
  </si>
  <si>
    <t>Pocket Knife</t>
  </si>
  <si>
    <t>Thai Food (Flatiron)</t>
  </si>
  <si>
    <t>Sunglass Hut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</si>
</sst>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rgb="FF000000"/>
      <name val="Calibri"/>
      <family val="2"/>
      <scheme val="minor"/>
    </font>
    <font>
      <sz val="15"/>
      <color theme="0"/>
      <name val="Calibri"/>
      <family val="2"/>
      <scheme val="minor"/>
    </font>
    <font>
      <sz val="12"/>
      <color rgb="FF000000"/>
      <name val="Aptos Narrow"/>
      <family val="2"/>
    </font>
    <font>
      <b/>
      <sz val="15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0">
    <border>
      <left/>
      <right/>
      <top/>
      <bottom/>
      <diagonal/>
    </border>
    <border>
      <left style="thin">
        <color theme="4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/>
      </right>
      <top/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4" fontId="3" fillId="0" borderId="0" xfId="0" applyNumberFormat="1" applyFont="1"/>
    <xf numFmtId="0" fontId="3" fillId="0" borderId="0" xfId="0" applyFont="1"/>
    <xf numFmtId="0" fontId="3" fillId="3" borderId="0" xfId="0" applyFont="1" applyFill="1"/>
    <xf numFmtId="0" fontId="2" fillId="2" borderId="4" xfId="0" applyFont="1" applyFill="1" applyBorder="1"/>
    <xf numFmtId="0" fontId="2" fillId="2" borderId="6" xfId="0" applyFont="1" applyFill="1" applyBorder="1"/>
    <xf numFmtId="14" fontId="4" fillId="0" borderId="12" xfId="0" applyNumberFormat="1" applyFont="1" applyBorder="1"/>
    <xf numFmtId="0" fontId="4" fillId="0" borderId="13" xfId="0" applyFont="1" applyBorder="1"/>
    <xf numFmtId="0" fontId="4" fillId="0" borderId="14" xfId="0" applyFont="1" applyBorder="1"/>
    <xf numFmtId="14" fontId="3" fillId="0" borderId="9" xfId="0" applyNumberFormat="1" applyFont="1" applyBorder="1"/>
    <xf numFmtId="0" fontId="3" fillId="0" borderId="10" xfId="0" applyFont="1" applyBorder="1"/>
    <xf numFmtId="0" fontId="3" fillId="0" borderId="11" xfId="0" applyFont="1" applyBorder="1"/>
    <xf numFmtId="14" fontId="3" fillId="0" borderId="7" xfId="0" applyNumberFormat="1" applyFont="1" applyBorder="1"/>
    <xf numFmtId="0" fontId="3" fillId="0" borderId="5" xfId="0" applyFont="1" applyBorder="1"/>
    <xf numFmtId="0" fontId="3" fillId="0" borderId="8" xfId="0" applyFont="1" applyBorder="1"/>
    <xf numFmtId="44" fontId="4" fillId="0" borderId="13" xfId="1" applyFont="1" applyBorder="1"/>
    <xf numFmtId="44" fontId="3" fillId="0" borderId="5" xfId="1" applyFont="1" applyBorder="1"/>
    <xf numFmtId="44" fontId="3" fillId="0" borderId="10" xfId="1" applyFont="1" applyBorder="1"/>
    <xf numFmtId="44" fontId="3" fillId="0" borderId="0" xfId="1" applyFont="1"/>
    <xf numFmtId="0" fontId="3" fillId="0" borderId="15" xfId="0" applyFont="1" applyBorder="1" applyAlignment="1">
      <alignment horizontal="left" vertical="center"/>
    </xf>
    <xf numFmtId="0" fontId="3" fillId="0" borderId="15" xfId="0" pivotButton="1" applyFont="1" applyBorder="1" applyAlignment="1">
      <alignment horizontal="left" vertical="center"/>
    </xf>
    <xf numFmtId="44" fontId="3" fillId="0" borderId="15" xfId="0" applyNumberFormat="1" applyFont="1" applyBorder="1" applyAlignment="1">
      <alignment horizontal="left" vertical="center"/>
    </xf>
    <xf numFmtId="44" fontId="3" fillId="4" borderId="15" xfId="0" applyNumberFormat="1" applyFont="1" applyFill="1" applyBorder="1" applyAlignment="1">
      <alignment horizontal="left" vertical="center"/>
    </xf>
    <xf numFmtId="0" fontId="3" fillId="0" borderId="15" xfId="0" pivotButton="1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44" fontId="3" fillId="0" borderId="15" xfId="0" applyNumberFormat="1" applyFont="1" applyBorder="1" applyAlignment="1">
      <alignment vertical="center"/>
    </xf>
    <xf numFmtId="0" fontId="3" fillId="0" borderId="15" xfId="0" applyFont="1" applyBorder="1" applyAlignment="1">
      <alignment horizontal="left"/>
    </xf>
    <xf numFmtId="14" fontId="3" fillId="0" borderId="17" xfId="0" applyNumberFormat="1" applyFont="1" applyBorder="1"/>
    <xf numFmtId="0" fontId="3" fillId="0" borderId="16" xfId="0" applyFont="1" applyBorder="1"/>
    <xf numFmtId="0" fontId="3" fillId="0" borderId="18" xfId="0" applyFont="1" applyBorder="1"/>
    <xf numFmtId="44" fontId="3" fillId="0" borderId="15" xfId="0" applyNumberFormat="1" applyFont="1" applyBorder="1"/>
    <xf numFmtId="0" fontId="3" fillId="4" borderId="15" xfId="0" applyFont="1" applyFill="1" applyBorder="1"/>
    <xf numFmtId="0" fontId="3" fillId="4" borderId="15" xfId="0" applyFont="1" applyFill="1" applyBorder="1" applyAlignment="1">
      <alignment horizontal="left"/>
    </xf>
    <xf numFmtId="44" fontId="3" fillId="5" borderId="15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14" fontId="3" fillId="3" borderId="0" xfId="0" applyNumberFormat="1" applyFont="1" applyFill="1"/>
    <xf numFmtId="44" fontId="0" fillId="0" borderId="0" xfId="0" applyNumberFormat="1"/>
    <xf numFmtId="44" fontId="3" fillId="3" borderId="0" xfId="1" applyFont="1" applyFill="1"/>
    <xf numFmtId="0" fontId="2" fillId="2" borderId="19" xfId="0" applyFont="1" applyFill="1" applyBorder="1"/>
    <xf numFmtId="0" fontId="3" fillId="6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4" fontId="3" fillId="0" borderId="15" xfId="0" applyNumberFormat="1" applyFont="1" applyBorder="1" applyAlignment="1">
      <alignment horizontal="center" vertical="center"/>
    </xf>
    <xf numFmtId="44" fontId="3" fillId="7" borderId="15" xfId="0" applyNumberFormat="1" applyFont="1" applyFill="1" applyBorder="1" applyAlignment="1">
      <alignment horizontal="center" vertical="center"/>
    </xf>
    <xf numFmtId="44" fontId="3" fillId="0" borderId="16" xfId="1" applyFont="1" applyBorder="1"/>
    <xf numFmtId="44" fontId="3" fillId="0" borderId="16" xfId="1" applyFont="1" applyFill="1" applyBorder="1"/>
    <xf numFmtId="0" fontId="3" fillId="0" borderId="0" xfId="0" pivotButton="1" applyFont="1"/>
    <xf numFmtId="0" fontId="3" fillId="0" borderId="0" xfId="0" applyFont="1" applyAlignment="1">
      <alignment horizontal="left"/>
    </xf>
    <xf numFmtId="4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5" fillId="8" borderId="15" xfId="0" applyFont="1" applyFill="1" applyBorder="1"/>
    <xf numFmtId="0" fontId="5" fillId="8" borderId="15" xfId="0" applyFont="1" applyFill="1" applyBorder="1" applyAlignment="1">
      <alignment horizontal="left"/>
    </xf>
    <xf numFmtId="44" fontId="3" fillId="9" borderId="15" xfId="0" applyNumberFormat="1" applyFont="1" applyFill="1" applyBorder="1"/>
    <xf numFmtId="14" fontId="6" fillId="0" borderId="0" xfId="0" applyNumberFormat="1" applyFont="1"/>
    <xf numFmtId="0" fontId="6" fillId="0" borderId="0" xfId="0" applyFont="1"/>
    <xf numFmtId="0" fontId="3" fillId="0" borderId="15" xfId="0" pivotButton="1" applyFont="1" applyBorder="1"/>
    <xf numFmtId="0" fontId="3" fillId="0" borderId="15" xfId="0" applyFont="1" applyBorder="1"/>
    <xf numFmtId="0" fontId="3" fillId="4" borderId="15" xfId="0" applyFont="1" applyFill="1" applyBorder="1" applyAlignment="1">
      <alignment horizontal="center" vertical="center"/>
    </xf>
    <xf numFmtId="44" fontId="3" fillId="5" borderId="15" xfId="0" applyNumberFormat="1" applyFont="1" applyFill="1" applyBorder="1" applyAlignment="1">
      <alignment horizontal="center" vertical="center"/>
    </xf>
    <xf numFmtId="0" fontId="3" fillId="0" borderId="15" xfId="0" pivotButton="1" applyFont="1" applyBorder="1" applyAlignment="1">
      <alignment horizontal="center" vertical="center"/>
    </xf>
    <xf numFmtId="14" fontId="3" fillId="10" borderId="17" xfId="0" applyNumberFormat="1" applyFont="1" applyFill="1" applyBorder="1"/>
    <xf numFmtId="0" fontId="3" fillId="10" borderId="16" xfId="0" applyFont="1" applyFill="1" applyBorder="1"/>
    <xf numFmtId="0" fontId="3" fillId="10" borderId="18" xfId="0" applyFont="1" applyFill="1" applyBorder="1"/>
    <xf numFmtId="0" fontId="7" fillId="0" borderId="0" xfId="0" applyFont="1"/>
    <xf numFmtId="0" fontId="3" fillId="0" borderId="0" xfId="1" applyNumberFormat="1" applyFont="1"/>
    <xf numFmtId="0" fontId="3" fillId="6" borderId="15" xfId="0" applyFont="1" applyFill="1" applyBorder="1"/>
    <xf numFmtId="0" fontId="3" fillId="6" borderId="15" xfId="0" applyFont="1" applyFill="1" applyBorder="1" applyAlignment="1">
      <alignment horizontal="left"/>
    </xf>
    <xf numFmtId="44" fontId="3" fillId="6" borderId="15" xfId="0" applyNumberFormat="1" applyFont="1" applyFill="1" applyBorder="1"/>
    <xf numFmtId="14" fontId="3" fillId="3" borderId="7" xfId="0" applyNumberFormat="1" applyFont="1" applyFill="1" applyBorder="1"/>
    <xf numFmtId="0" fontId="3" fillId="3" borderId="5" xfId="0" applyFont="1" applyFill="1" applyBorder="1"/>
    <xf numFmtId="0" fontId="3" fillId="3" borderId="8" xfId="0" applyFont="1" applyFill="1" applyBorder="1"/>
    <xf numFmtId="6" fontId="3" fillId="3" borderId="5" xfId="0" applyNumberFormat="1" applyFont="1" applyFill="1" applyBorder="1"/>
  </cellXfs>
  <cellStyles count="2">
    <cellStyle name="Currency" xfId="1" builtinId="4"/>
    <cellStyle name="Normal" xfId="0" builtinId="0"/>
  </cellStyles>
  <dxfs count="3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fill>
        <patternFill>
          <bgColor theme="0" tint="-0.149998474074526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font>
        <sz val="15"/>
      </font>
    </dxf>
    <dxf>
      <font>
        <sz val="15"/>
      </font>
    </dxf>
    <dxf>
      <font>
        <sz val="15"/>
      </font>
    </dxf>
    <dxf>
      <numFmt numFmtId="34" formatCode="_(&quot;$&quot;* #,##0.00_);_(&quot;$&quot;* \(#,##0.00\);_(&quot;$&quot;* &quot;-&quot;??_);_(@_)"/>
    </dxf>
    <dxf>
      <font>
        <color theme="0"/>
      </font>
    </dxf>
    <dxf>
      <fill>
        <patternFill>
          <bgColor theme="0" tint="-0.34998626667073579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alignment horizontal="center"/>
    </dxf>
    <dxf>
      <alignment vertical="center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0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strike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>
          <bgColor theme="8" tint="0.39997558519241921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8" tint="0.39997558519241921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  <numFmt numFmtId="19" formatCode="m/d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</dxf>
    <dxf>
      <numFmt numFmtId="34" formatCode="_(&quot;$&quot;* #,##0.00_);_(&quot;$&quot;* \(#,##0.00\);_(&quot;$&quot;* &quot;-&quot;??_);_(@_)"/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  <dxf>
      <font>
        <sz val="1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Sheet.xlsx]Jan'25!PivotTable1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</a:t>
            </a:r>
            <a:r>
              <a:rPr lang="en-US" baseline="0"/>
              <a:t> 2025 expenses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'Jan''25'!$I$1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'Jan''25'!$H$2:$H$9</c:f>
              <c:strCache>
                <c:ptCount val="7"/>
                <c:pt idx="0">
                  <c:v>Groceries</c:v>
                </c:pt>
                <c:pt idx="1">
                  <c:v>Travel</c:v>
                </c:pt>
                <c:pt idx="2">
                  <c:v>Food2</c:v>
                </c:pt>
                <c:pt idx="3">
                  <c:v>Personal</c:v>
                </c:pt>
                <c:pt idx="4">
                  <c:v>Shopping</c:v>
                </c:pt>
                <c:pt idx="5">
                  <c:v>Unknown</c:v>
                </c:pt>
                <c:pt idx="6">
                  <c:v>Entertainment</c:v>
                </c:pt>
              </c:strCache>
            </c:strRef>
          </c:cat>
          <c:val>
            <c:numRef>
              <c:f>'Jan''25'!$I$2:$I$9</c:f>
              <c:numCache>
                <c:formatCode>_("$"* #,##0.00_);_("$"* \(#,##0.00\);_("$"* "-"??_);_(@_)</c:formatCode>
                <c:ptCount val="7"/>
                <c:pt idx="0">
                  <c:v>154.63999999999999</c:v>
                </c:pt>
                <c:pt idx="1">
                  <c:v>103.17999999999999</c:v>
                </c:pt>
                <c:pt idx="2">
                  <c:v>280.65999999999997</c:v>
                </c:pt>
                <c:pt idx="3">
                  <c:v>93.73</c:v>
                </c:pt>
                <c:pt idx="4">
                  <c:v>717.20999999999992</c:v>
                </c:pt>
                <c:pt idx="5">
                  <c:v>14.48</c:v>
                </c:pt>
                <c:pt idx="6">
                  <c:v>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7-D441-89FE-0F3CEBAC5C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578793840"/>
        <c:axId val="2026162736"/>
      </c:barChart>
      <c:catAx>
        <c:axId val="1578793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162736"/>
        <c:crosses val="autoZero"/>
        <c:auto val="1"/>
        <c:lblAlgn val="ctr"/>
        <c:lblOffset val="100"/>
        <c:noMultiLvlLbl val="0"/>
      </c:catAx>
      <c:valAx>
        <c:axId val="202616273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57879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Sheet.xlsx]Feb'25!PivotTable1</c:name>
    <c:fmtId val="0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'Feb''25'!$I$2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'Feb''25'!$H$3:$H$9</c:f>
              <c:strCache>
                <c:ptCount val="6"/>
                <c:pt idx="0">
                  <c:v>Entertainment</c:v>
                </c:pt>
                <c:pt idx="1">
                  <c:v>Groceries</c:v>
                </c:pt>
                <c:pt idx="2">
                  <c:v>Travel</c:v>
                </c:pt>
                <c:pt idx="3">
                  <c:v>Food</c:v>
                </c:pt>
                <c:pt idx="4">
                  <c:v>Personal</c:v>
                </c:pt>
                <c:pt idx="5">
                  <c:v>Shopping</c:v>
                </c:pt>
              </c:strCache>
            </c:strRef>
          </c:cat>
          <c:val>
            <c:numRef>
              <c:f>'Feb''25'!$I$3:$I$9</c:f>
              <c:numCache>
                <c:formatCode>_("$"* #,##0.00_);_("$"* \(#,##0.00\);_("$"* "-"??_);_(@_)</c:formatCode>
                <c:ptCount val="6"/>
                <c:pt idx="0">
                  <c:v>36.970000000000006</c:v>
                </c:pt>
                <c:pt idx="1">
                  <c:v>395.98999999999995</c:v>
                </c:pt>
                <c:pt idx="2">
                  <c:v>314.25</c:v>
                </c:pt>
                <c:pt idx="3">
                  <c:v>84.960000000000008</c:v>
                </c:pt>
                <c:pt idx="4">
                  <c:v>124.55</c:v>
                </c:pt>
                <c:pt idx="5">
                  <c:v>924.88000000000011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0-6D4C-A9DF-3E608DF682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731930592"/>
        <c:axId val="1731993296"/>
      </c:barChart>
      <c:catAx>
        <c:axId val="1731930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93296"/>
        <c:crosses val="autoZero"/>
        <c:auto val="1"/>
        <c:lblAlgn val="ctr"/>
        <c:lblOffset val="100"/>
        <c:noMultiLvlLbl val="0"/>
      </c:catAx>
      <c:valAx>
        <c:axId val="173199329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73193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Sheet.xlsx]Mar'25!PivotTable1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March '25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'Mar''25'!$I$2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'Mar''25'!$H$3:$H$15</c:f>
              <c:strCache>
                <c:ptCount val="12"/>
                <c:pt idx="0">
                  <c:v>Entertainment</c:v>
                </c:pt>
                <c:pt idx="1">
                  <c:v>General Merchandise</c:v>
                </c:pt>
                <c:pt idx="2">
                  <c:v>Groceries</c:v>
                </c:pt>
                <c:pt idx="3">
                  <c:v>Online Services</c:v>
                </c:pt>
                <c:pt idx="4">
                  <c:v>Personal Care</c:v>
                </c:pt>
                <c:pt idx="5">
                  <c:v>Restaurants</c:v>
                </c:pt>
                <c:pt idx="6">
                  <c:v>Rewards</c:v>
                </c:pt>
                <c:pt idx="7">
                  <c:v>Travel</c:v>
                </c:pt>
                <c:pt idx="8">
                  <c:v>Personal</c:v>
                </c:pt>
                <c:pt idx="9">
                  <c:v>Food</c:v>
                </c:pt>
                <c:pt idx="10">
                  <c:v>Rent</c:v>
                </c:pt>
                <c:pt idx="11">
                  <c:v>Unknown</c:v>
                </c:pt>
              </c:strCache>
            </c:strRef>
          </c:cat>
          <c:val>
            <c:numRef>
              <c:f>'Mar''25'!$I$3:$I$15</c:f>
              <c:numCache>
                <c:formatCode>_("$"* #,##0.00_);_("$"* \(#,##0.00\);_("$"* "-"??_);_(@_)</c:formatCode>
                <c:ptCount val="12"/>
                <c:pt idx="0">
                  <c:v>19.46</c:v>
                </c:pt>
                <c:pt idx="1">
                  <c:v>29.430000000000003</c:v>
                </c:pt>
                <c:pt idx="2">
                  <c:v>230.14999999999998</c:v>
                </c:pt>
                <c:pt idx="3">
                  <c:v>16.64</c:v>
                </c:pt>
                <c:pt idx="4">
                  <c:v>129.36000000000001</c:v>
                </c:pt>
                <c:pt idx="5">
                  <c:v>6.53</c:v>
                </c:pt>
                <c:pt idx="6">
                  <c:v>-49.25</c:v>
                </c:pt>
                <c:pt idx="7">
                  <c:v>15.59</c:v>
                </c:pt>
                <c:pt idx="8">
                  <c:v>-69.61</c:v>
                </c:pt>
                <c:pt idx="9">
                  <c:v>285.83166666666659</c:v>
                </c:pt>
                <c:pt idx="10">
                  <c:v>48.39</c:v>
                </c:pt>
                <c:pt idx="11">
                  <c:v>22.727272727272727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2240-82AF-A676FF16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484266239"/>
        <c:axId val="1678941728"/>
      </c:barChart>
      <c:catAx>
        <c:axId val="484266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41728"/>
        <c:crosses val="autoZero"/>
        <c:auto val="1"/>
        <c:lblAlgn val="ctr"/>
        <c:lblOffset val="100"/>
        <c:noMultiLvlLbl val="0"/>
      </c:catAx>
      <c:valAx>
        <c:axId val="167894172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48426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Sheet.xlsx]April'25!PivotTable1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 2025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'April''25'!$I$2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'April''25'!$H$3:$H$9</c:f>
              <c:strCache>
                <c:ptCount val="6"/>
                <c:pt idx="0">
                  <c:v>Groceries</c:v>
                </c:pt>
                <c:pt idx="1">
                  <c:v>Travel</c:v>
                </c:pt>
                <c:pt idx="2">
                  <c:v>Personal</c:v>
                </c:pt>
                <c:pt idx="3">
                  <c:v>Shopping</c:v>
                </c:pt>
                <c:pt idx="4">
                  <c:v>Food2</c:v>
                </c:pt>
                <c:pt idx="5">
                  <c:v>Entertainment</c:v>
                </c:pt>
              </c:strCache>
            </c:strRef>
          </c:cat>
          <c:val>
            <c:numRef>
              <c:f>'April''25'!$I$3:$I$9</c:f>
              <c:numCache>
                <c:formatCode>_("$"* #,##0.00_);_("$"* \(#,##0.00\);_("$"* "-"??_);_(@_)</c:formatCode>
                <c:ptCount val="6"/>
                <c:pt idx="0">
                  <c:v>108.58</c:v>
                </c:pt>
                <c:pt idx="1">
                  <c:v>65.13000000000001</c:v>
                </c:pt>
                <c:pt idx="2">
                  <c:v>63.52</c:v>
                </c:pt>
                <c:pt idx="3">
                  <c:v>482.17000000000007</c:v>
                </c:pt>
                <c:pt idx="4">
                  <c:v>319.04999999999995</c:v>
                </c:pt>
                <c:pt idx="5">
                  <c:v>2.99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1-1C4C-B3EC-181391CFE8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75014639"/>
        <c:axId val="1743690944"/>
      </c:barChart>
      <c:catAx>
        <c:axId val="17501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690944"/>
        <c:crosses val="autoZero"/>
        <c:auto val="1"/>
        <c:lblAlgn val="ctr"/>
        <c:lblOffset val="100"/>
        <c:noMultiLvlLbl val="0"/>
      </c:catAx>
      <c:valAx>
        <c:axId val="1743690944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75014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Sheet.xlsx]May'25!PivotTable1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 2025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'May''25'!$I$1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'May''25'!$H$2:$H$8</c:f>
              <c:strCache>
                <c:ptCount val="6"/>
                <c:pt idx="0">
                  <c:v>Groceries</c:v>
                </c:pt>
                <c:pt idx="1">
                  <c:v>Rent</c:v>
                </c:pt>
                <c:pt idx="2">
                  <c:v>Food</c:v>
                </c:pt>
                <c:pt idx="3">
                  <c:v>Travel</c:v>
                </c:pt>
                <c:pt idx="4">
                  <c:v>Personal2</c:v>
                </c:pt>
                <c:pt idx="5">
                  <c:v>Entertainment</c:v>
                </c:pt>
              </c:strCache>
            </c:strRef>
          </c:cat>
          <c:val>
            <c:numRef>
              <c:f>'May''25'!$I$2:$I$8</c:f>
              <c:numCache>
                <c:formatCode>_("$"* #,##0.00_);_("$"* \(#,##0.00\);_("$"* "-"??_);_(@_)</c:formatCode>
                <c:ptCount val="6"/>
                <c:pt idx="0">
                  <c:v>249.46</c:v>
                </c:pt>
                <c:pt idx="1">
                  <c:v>3358.3399999999997</c:v>
                </c:pt>
                <c:pt idx="2">
                  <c:v>248.09</c:v>
                </c:pt>
                <c:pt idx="3">
                  <c:v>485.32000000000005</c:v>
                </c:pt>
                <c:pt idx="4">
                  <c:v>138.69</c:v>
                </c:pt>
                <c:pt idx="5">
                  <c:v>22.990000000000002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E-9C47-8D67-232077238C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683205376"/>
        <c:axId val="1683207088"/>
      </c:barChart>
      <c:catAx>
        <c:axId val="168320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207088"/>
        <c:crosses val="autoZero"/>
        <c:auto val="1"/>
        <c:lblAlgn val="ctr"/>
        <c:lblOffset val="100"/>
        <c:noMultiLvlLbl val="0"/>
      </c:catAx>
      <c:valAx>
        <c:axId val="1683207088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68320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Sheet.xlsx]Jun'25!PivotTable1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'Jun''25'!$I$2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'Jun''25'!$H$3:$H$9</c:f>
              <c:strCache>
                <c:ptCount val="6"/>
                <c:pt idx="0">
                  <c:v>Food</c:v>
                </c:pt>
                <c:pt idx="1">
                  <c:v>Groceries</c:v>
                </c:pt>
                <c:pt idx="2">
                  <c:v>Rent</c:v>
                </c:pt>
                <c:pt idx="3">
                  <c:v>Personal</c:v>
                </c:pt>
                <c:pt idx="4">
                  <c:v>Shopping</c:v>
                </c:pt>
                <c:pt idx="5">
                  <c:v>Entertainment</c:v>
                </c:pt>
              </c:strCache>
            </c:strRef>
          </c:cat>
          <c:val>
            <c:numRef>
              <c:f>'Jun''25'!$I$3:$I$9</c:f>
              <c:numCache>
                <c:formatCode>_("$"* #,##0.00_);_("$"* \(#,##0.00\);_("$"* "-"??_);_(@_)</c:formatCode>
                <c:ptCount val="6"/>
                <c:pt idx="0">
                  <c:v>200.28666666666669</c:v>
                </c:pt>
                <c:pt idx="1">
                  <c:v>22.869999999999997</c:v>
                </c:pt>
                <c:pt idx="2">
                  <c:v>83.06</c:v>
                </c:pt>
                <c:pt idx="3">
                  <c:v>240.82666666666671</c:v>
                </c:pt>
                <c:pt idx="4">
                  <c:v>56.09</c:v>
                </c:pt>
                <c:pt idx="5">
                  <c:v>10.99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B-2540-8303-CD71C35EB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078575"/>
        <c:axId val="1247381631"/>
      </c:barChart>
      <c:catAx>
        <c:axId val="124707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381631"/>
        <c:crosses val="autoZero"/>
        <c:auto val="1"/>
        <c:lblAlgn val="ctr"/>
        <c:lblOffset val="100"/>
        <c:noMultiLvlLbl val="0"/>
      </c:catAx>
      <c:valAx>
        <c:axId val="12473816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24707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Sheet.xlsx]July'25!PivotTable1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July '25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'July''25'!$I$1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'July''25'!$H$2:$H$9</c:f>
              <c:strCache>
                <c:ptCount val="7"/>
                <c:pt idx="0">
                  <c:v>Entertainment</c:v>
                </c:pt>
                <c:pt idx="1">
                  <c:v>Groceries</c:v>
                </c:pt>
                <c:pt idx="2">
                  <c:v>Rent</c:v>
                </c:pt>
                <c:pt idx="3">
                  <c:v>Venmo</c:v>
                </c:pt>
                <c:pt idx="4">
                  <c:v>Personal</c:v>
                </c:pt>
                <c:pt idx="5">
                  <c:v>Food</c:v>
                </c:pt>
                <c:pt idx="6">
                  <c:v>Shopping</c:v>
                </c:pt>
              </c:strCache>
            </c:strRef>
          </c:cat>
          <c:val>
            <c:numRef>
              <c:f>'July''25'!$I$2:$I$9</c:f>
              <c:numCache>
                <c:formatCode>_("$"* #,##0.00_);_("$"* \(#,##0.00\);_("$"* "-"??_);_(@_)</c:formatCode>
                <c:ptCount val="7"/>
                <c:pt idx="0">
                  <c:v>67.98</c:v>
                </c:pt>
                <c:pt idx="1">
                  <c:v>283.31</c:v>
                </c:pt>
                <c:pt idx="2">
                  <c:v>3380.62</c:v>
                </c:pt>
                <c:pt idx="3">
                  <c:v>21.240000000000002</c:v>
                </c:pt>
                <c:pt idx="4">
                  <c:v>35.700000000000003</c:v>
                </c:pt>
                <c:pt idx="5">
                  <c:v>244.76633333333334</c:v>
                </c:pt>
                <c:pt idx="6">
                  <c:v>499.32500000000005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1-3047-9DBE-AAAACA9878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131481744"/>
        <c:axId val="119725871"/>
      </c:barChart>
      <c:catAx>
        <c:axId val="113148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25871"/>
        <c:crosses val="autoZero"/>
        <c:auto val="1"/>
        <c:lblAlgn val="ctr"/>
        <c:lblOffset val="100"/>
        <c:noMultiLvlLbl val="0"/>
      </c:catAx>
      <c:valAx>
        <c:axId val="119725871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13148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Sheet.xlsx]Sep'25!PivotTable2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September</a:t>
            </a:r>
            <a:r>
              <a:rPr lang="en-US" baseline="0"/>
              <a:t> 2025 expenses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'Sep''25'!$I$2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'Sep''25'!$H$3:$H$11</c:f>
              <c:strCache>
                <c:ptCount val="8"/>
                <c:pt idx="0">
                  <c:v>Food</c:v>
                </c:pt>
                <c:pt idx="1">
                  <c:v>Groceries</c:v>
                </c:pt>
                <c:pt idx="2">
                  <c:v>Other Expenses</c:v>
                </c:pt>
                <c:pt idx="3">
                  <c:v>Personal</c:v>
                </c:pt>
                <c:pt idx="4">
                  <c:v>Rent</c:v>
                </c:pt>
                <c:pt idx="5">
                  <c:v>Travel</c:v>
                </c:pt>
                <c:pt idx="6">
                  <c:v>Ashram</c:v>
                </c:pt>
                <c:pt idx="7">
                  <c:v>Shopping</c:v>
                </c:pt>
              </c:strCache>
            </c:strRef>
          </c:cat>
          <c:val>
            <c:numRef>
              <c:f>'Sep''25'!$I$3:$I$11</c:f>
              <c:numCache>
                <c:formatCode>_("$"* #,##0.00_);_("$"* \(#,##0.00\);_("$"* "-"??_);_(@_)</c:formatCode>
                <c:ptCount val="8"/>
                <c:pt idx="0">
                  <c:v>201.45</c:v>
                </c:pt>
                <c:pt idx="1">
                  <c:v>265.05999999999995</c:v>
                </c:pt>
                <c:pt idx="2">
                  <c:v>30</c:v>
                </c:pt>
                <c:pt idx="3">
                  <c:v>80.834999999999994</c:v>
                </c:pt>
                <c:pt idx="4">
                  <c:v>3387.3199999999997</c:v>
                </c:pt>
                <c:pt idx="5">
                  <c:v>46.9</c:v>
                </c:pt>
                <c:pt idx="6">
                  <c:v>474.12</c:v>
                </c:pt>
                <c:pt idx="7">
                  <c:v>189.11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AE-FD41-9F39-EC08CE400A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143120496"/>
        <c:axId val="2143114816"/>
      </c:barChart>
      <c:catAx>
        <c:axId val="2143120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114816"/>
        <c:crosses val="autoZero"/>
        <c:auto val="1"/>
        <c:lblAlgn val="ctr"/>
        <c:lblOffset val="100"/>
        <c:noMultiLvlLbl val="0"/>
      </c:catAx>
      <c:valAx>
        <c:axId val="214311481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14312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Sheet.xlsx]Oct'25!PivotTable2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October '25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'Oct''25'!$I$1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'Oct''25'!$H$2:$H$7</c:f>
              <c:strCache>
                <c:ptCount val="5"/>
                <c:pt idx="0">
                  <c:v>Australia DY</c:v>
                </c:pt>
                <c:pt idx="1">
                  <c:v>Food</c:v>
                </c:pt>
                <c:pt idx="2">
                  <c:v>Groceries</c:v>
                </c:pt>
                <c:pt idx="3">
                  <c:v>Personal</c:v>
                </c:pt>
                <c:pt idx="4">
                  <c:v>Rent</c:v>
                </c:pt>
              </c:strCache>
            </c:strRef>
          </c:cat>
          <c:val>
            <c:numRef>
              <c:f>'Oct''25'!$I$2:$I$7</c:f>
              <c:numCache>
                <c:formatCode>_("$"* #,##0.00_);_("$"* \(#,##0.00\);_("$"* "-"??_);_(@_)</c:formatCode>
                <c:ptCount val="5"/>
                <c:pt idx="0">
                  <c:v>2824.4449999999988</c:v>
                </c:pt>
                <c:pt idx="1">
                  <c:v>72.940000000000012</c:v>
                </c:pt>
                <c:pt idx="2">
                  <c:v>318.57999999999993</c:v>
                </c:pt>
                <c:pt idx="3">
                  <c:v>343</c:v>
                </c:pt>
                <c:pt idx="4">
                  <c:v>258.47000000000003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B-4E4E-86BD-F1DD79812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891707423"/>
        <c:axId val="565886943"/>
      </c:barChart>
      <c:catAx>
        <c:axId val="189170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886943"/>
        <c:crosses val="autoZero"/>
        <c:auto val="1"/>
        <c:lblAlgn val="ctr"/>
        <c:lblOffset val="100"/>
        <c:noMultiLvlLbl val="0"/>
      </c:catAx>
      <c:valAx>
        <c:axId val="565886943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89170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Sheet.xlsx]Nov '25!PivotTable5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 '25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'Nov ''25'!$I$1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'Nov ''25'!$H$2:$H$11</c:f>
              <c:strCache>
                <c:ptCount val="9"/>
                <c:pt idx="0">
                  <c:v>Entertainment</c:v>
                </c:pt>
                <c:pt idx="1">
                  <c:v>General Merchandise</c:v>
                </c:pt>
                <c:pt idx="2">
                  <c:v>Groceries</c:v>
                </c:pt>
                <c:pt idx="3">
                  <c:v>Rent</c:v>
                </c:pt>
                <c:pt idx="4">
                  <c:v>Restaurants</c:v>
                </c:pt>
                <c:pt idx="5">
                  <c:v>Travel</c:v>
                </c:pt>
                <c:pt idx="6">
                  <c:v>Australia DY</c:v>
                </c:pt>
                <c:pt idx="7">
                  <c:v>Food</c:v>
                </c:pt>
                <c:pt idx="8">
                  <c:v>Personal</c:v>
                </c:pt>
              </c:strCache>
            </c:strRef>
          </c:cat>
          <c:val>
            <c:numRef>
              <c:f>'Nov ''25'!$I$2:$I$11</c:f>
              <c:numCache>
                <c:formatCode>_("$"* #,##0.00_);_("$"* \(#,##0.00\);_("$"* "-"??_);_(@_)</c:formatCode>
                <c:ptCount val="9"/>
                <c:pt idx="0">
                  <c:v>30</c:v>
                </c:pt>
                <c:pt idx="1">
                  <c:v>285.24</c:v>
                </c:pt>
                <c:pt idx="2">
                  <c:v>121.30000000000001</c:v>
                </c:pt>
                <c:pt idx="3">
                  <c:v>144.01999999999998</c:v>
                </c:pt>
                <c:pt idx="4">
                  <c:v>10.4</c:v>
                </c:pt>
                <c:pt idx="5">
                  <c:v>7.92</c:v>
                </c:pt>
                <c:pt idx="6">
                  <c:v>1481.9600000000005</c:v>
                </c:pt>
                <c:pt idx="7">
                  <c:v>120.76</c:v>
                </c:pt>
                <c:pt idx="8">
                  <c:v>312.40999999999997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1-E747-84A6-5E2E051CF9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081137840"/>
        <c:axId val="979588176"/>
      </c:barChart>
      <c:catAx>
        <c:axId val="108113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88176"/>
        <c:crosses val="autoZero"/>
        <c:auto val="1"/>
        <c:lblAlgn val="ctr"/>
        <c:lblOffset val="100"/>
        <c:noMultiLvlLbl val="0"/>
      </c:catAx>
      <c:valAx>
        <c:axId val="979588176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8113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 Income-Expense Sheet.xlsx]Dec '25!PivotTable1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December '25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 ''25'!$J$1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'Dec ''25'!$I$2:$I$11</c:f>
              <c:strCache>
                <c:ptCount val="9"/>
                <c:pt idx="0">
                  <c:v>Entertainment</c:v>
                </c:pt>
                <c:pt idx="1">
                  <c:v>Groceries</c:v>
                </c:pt>
                <c:pt idx="2">
                  <c:v>Rent</c:v>
                </c:pt>
                <c:pt idx="3">
                  <c:v>Travel</c:v>
                </c:pt>
                <c:pt idx="4">
                  <c:v>Personal</c:v>
                </c:pt>
                <c:pt idx="5">
                  <c:v>Food</c:v>
                </c:pt>
                <c:pt idx="6">
                  <c:v>Shopping</c:v>
                </c:pt>
                <c:pt idx="7">
                  <c:v>BAPA Offering</c:v>
                </c:pt>
                <c:pt idx="8">
                  <c:v>Australia DY</c:v>
                </c:pt>
              </c:strCache>
            </c:strRef>
          </c:cat>
          <c:val>
            <c:numRef>
              <c:f>'Dec ''25'!$J$2:$J$11</c:f>
              <c:numCache>
                <c:formatCode>_("$"* #,##0.00_);_("$"* \(#,##0.00\);_("$"* "-"??_);_(@_)</c:formatCode>
                <c:ptCount val="9"/>
                <c:pt idx="0">
                  <c:v>34</c:v>
                </c:pt>
                <c:pt idx="1">
                  <c:v>79.23</c:v>
                </c:pt>
                <c:pt idx="2">
                  <c:v>3414.7999999999997</c:v>
                </c:pt>
                <c:pt idx="3">
                  <c:v>114.71</c:v>
                </c:pt>
                <c:pt idx="4">
                  <c:v>389.29000000000008</c:v>
                </c:pt>
                <c:pt idx="5">
                  <c:v>241.75999999999993</c:v>
                </c:pt>
                <c:pt idx="6">
                  <c:v>222.98999999999998</c:v>
                </c:pt>
                <c:pt idx="7">
                  <c:v>175.84</c:v>
                </c:pt>
                <c:pt idx="8">
                  <c:v>86.685000000000002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E4-3B4E-8D98-B63FA05DE5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705605839"/>
        <c:axId val="1842019023"/>
      </c:barChart>
      <c:catAx>
        <c:axId val="170560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019023"/>
        <c:crosses val="autoZero"/>
        <c:auto val="1"/>
        <c:lblAlgn val="ctr"/>
        <c:lblOffset val="100"/>
        <c:noMultiLvlLbl val="0"/>
      </c:catAx>
      <c:valAx>
        <c:axId val="1842019023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70560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10</xdr:row>
      <xdr:rowOff>6350</xdr:rowOff>
    </xdr:from>
    <xdr:to>
      <xdr:col>15</xdr:col>
      <xdr:colOff>0</xdr:colOff>
      <xdr:row>26</xdr:row>
      <xdr:rowOff>241300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2A026-4D5A-DF36-04D2-FEE976616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819150</xdr:colOff>
      <xdr:row>13</xdr:row>
      <xdr:rowOff>31750</xdr:rowOff>
    </xdr:from>
    <xdr:to>
      <xdr:col>15</xdr:col>
      <xdr:colOff>38100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2E454-FB7F-F1DB-A488-C1CC5D8A7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800100</xdr:colOff>
      <xdr:row>17</xdr:row>
      <xdr:rowOff>6350</xdr:rowOff>
    </xdr:from>
    <xdr:to>
      <xdr:col>14</xdr:col>
      <xdr:colOff>0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AB479-5DC3-D046-B8CB-10854F83E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10</xdr:row>
      <xdr:rowOff>0</xdr:rowOff>
    </xdr:from>
    <xdr:to>
      <xdr:col>15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58EC7A-4A7B-FD49-CE82-494CC95D6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9</xdr:row>
      <xdr:rowOff>12700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0AB279-8B8F-A493-A9B9-5A0E07562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806450</xdr:colOff>
      <xdr:row>9</xdr:row>
      <xdr:rowOff>241300</xdr:rowOff>
    </xdr:from>
    <xdr:to>
      <xdr:col>12</xdr:col>
      <xdr:colOff>6350</xdr:colOff>
      <xdr:row>20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A36F2A-A12F-721A-D21E-FAB315CC7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10</xdr:row>
      <xdr:rowOff>241300</xdr:rowOff>
    </xdr:from>
    <xdr:to>
      <xdr:col>16</xdr:col>
      <xdr:colOff>596900</xdr:colOff>
      <xdr:row>26</xdr:row>
      <xdr:rowOff>228600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3B7541-5C89-BAB1-AF3F-F494E1644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812031</xdr:colOff>
      <xdr:row>12</xdr:row>
      <xdr:rowOff>231934</xdr:rowOff>
    </xdr:from>
    <xdr:to>
      <xdr:col>16</xdr:col>
      <xdr:colOff>12828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613F3E-02EE-9861-2991-66E5B1E7C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806450</xdr:colOff>
      <xdr:row>11</xdr:row>
      <xdr:rowOff>228600</xdr:rowOff>
    </xdr:from>
    <xdr:to>
      <xdr:col>16</xdr:col>
      <xdr:colOff>812800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944CB-2B8C-20DC-8DA7-C20DB26DB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812800</xdr:colOff>
      <xdr:row>12</xdr:row>
      <xdr:rowOff>0</xdr:rowOff>
    </xdr:from>
    <xdr:to>
      <xdr:col>14</xdr:col>
      <xdr:colOff>228600</xdr:colOff>
      <xdr:row>32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41AA76-2E09-1785-F4D2-4E4CBE47E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1377950</xdr:colOff>
      <xdr:row>12</xdr:row>
      <xdr:rowOff>12700</xdr:rowOff>
    </xdr:from>
    <xdr:to>
      <xdr:col>16</xdr:col>
      <xdr:colOff>812800</xdr:colOff>
      <xdr:row>24</xdr:row>
      <xdr:rowOff>241300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6BD3AA-613C-B7F5-FED2-B2D9D32FB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716.919267824072" createdVersion="8" refreshedVersion="8" minRefreshableVersion="3" recordCount="52" xr:uid="{7519C3E8-3682-2E40-9524-A2618724CE78}">
  <cacheSource type="worksheet">
    <worksheetSource name="Jan_25"/>
  </cacheSource>
  <cacheFields count="6">
    <cacheField name="Date" numFmtId="14">
      <sharedItems containsSemiMixedTypes="0" containsNonDate="0" containsDate="1" containsString="0" minDate="2025-01-02T00:00:00" maxDate="2025-02-01T00:00:00"/>
    </cacheField>
    <cacheField name="Description" numFmtId="0">
      <sharedItems/>
    </cacheField>
    <cacheField name="Amount" numFmtId="0">
      <sharedItems containsSemiMixedTypes="0" containsString="0" containsNumber="1" minValue="-223.16" maxValue="-0.26"/>
    </cacheField>
    <cacheField name="Amount2" numFmtId="0">
      <sharedItems containsSemiMixedTypes="0" containsString="0" containsNumber="1" minValue="0.26" maxValue="223.16"/>
    </cacheField>
    <cacheField name="Category" numFmtId="0">
      <sharedItems count="17">
        <s v="Food"/>
        <s v="Personal"/>
        <s v="Travel"/>
        <s v="Unknown"/>
        <s v="Groceries"/>
        <s v="Entertainment"/>
        <s v="Shopping"/>
        <s v="Other Expenses" u="1"/>
        <s v="General Merchandise" u="1"/>
        <s v="Electronics" u="1"/>
        <s v="Refunds &amp; Reimbursements" u="1"/>
        <s v="Deposits" u="1"/>
        <s v="Hobbies" u="1"/>
        <s v="Online Services" u="1"/>
        <s v="Personal Care" u="1"/>
        <s v="Home Improvement" u="1"/>
        <s v="Restaurants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716.919490277774" createdVersion="8" refreshedVersion="8" minRefreshableVersion="3" recordCount="54" xr:uid="{CCABECD7-7FBE-2B48-88D1-363E396A0FD0}">
  <cacheSource type="worksheet">
    <worksheetSource name="Feb_25"/>
  </cacheSource>
  <cacheFields count="6">
    <cacheField name="Date" numFmtId="14">
      <sharedItems containsSemiMixedTypes="0" containsNonDate="0" containsDate="1" containsString="0" minDate="2025-02-01T00:00:00" maxDate="2025-02-27T00:00:00"/>
    </cacheField>
    <cacheField name="Description" numFmtId="0">
      <sharedItems/>
    </cacheField>
    <cacheField name="Amount" numFmtId="0">
      <sharedItems containsSemiMixedTypes="0" containsString="0" containsNumber="1" minValue="-301.42" maxValue="-0.49"/>
    </cacheField>
    <cacheField name="Amount2" numFmtId="0">
      <sharedItems containsSemiMixedTypes="0" containsString="0" containsNumber="1" minValue="0.49" maxValue="238.96"/>
    </cacheField>
    <cacheField name="Category" numFmtId="0">
      <sharedItems count="12">
        <s v="Groceries"/>
        <s v="Food"/>
        <s v="Personal"/>
        <s v="Shopping"/>
        <s v="Travel"/>
        <s v="Entertainment"/>
        <s v="Restaurants" u="1"/>
        <s v="Rewards" u="1"/>
        <s v="General Merchandise" u="1"/>
        <s v="Personal Care" u="1"/>
        <s v="ATM/Cash" u="1"/>
        <s v="Deposits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786.926945601852" createdVersion="8" refreshedVersion="8" minRefreshableVersion="3" recordCount="60" xr:uid="{629F3FC7-DEA2-764B-87AC-FD022A395BC7}">
  <cacheSource type="worksheet">
    <worksheetSource name="Mar_25"/>
  </cacheSource>
  <cacheFields count="6">
    <cacheField name="Date" numFmtId="14">
      <sharedItems containsSemiMixedTypes="0" containsNonDate="0" containsDate="1" containsString="0" minDate="2025-03-03T00:00:00" maxDate="2025-04-01T00:00:00"/>
    </cacheField>
    <cacheField name="Description" numFmtId="0">
      <sharedItems/>
    </cacheField>
    <cacheField name="Amount" numFmtId="0">
      <sharedItems containsSemiMixedTypes="0" containsString="0" containsNumber="1" minValue="-250" maxValue="54.42"/>
    </cacheField>
    <cacheField name="Amount2" numFmtId="44">
      <sharedItems containsSemiMixedTypes="0" containsString="0" containsNumber="1" minValue="-54.42" maxValue="79.759999999999991"/>
    </cacheField>
    <cacheField name="Category" numFmtId="0">
      <sharedItems count="17">
        <s v="General Merchandise"/>
        <s v="Groceries"/>
        <s v="Online Services"/>
        <s v="Travel"/>
        <s v="Personal Care"/>
        <s v="Restaurants"/>
        <s v="Personal"/>
        <s v="Food"/>
        <s v="Rent"/>
        <s v="Entertainment"/>
        <s v="Rewards"/>
        <s v="Unknown"/>
        <s v="VENMO" u="1"/>
        <s v="Deposits" u="1"/>
        <s v="Clothing/Shoes" u="1"/>
        <s v="Other Expenses" u="1"/>
        <s v="Telephone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809.67714803241" createdVersion="8" refreshedVersion="8" minRefreshableVersion="3" recordCount="43" xr:uid="{FC7767DF-1C49-5E4E-88FD-0929E76AEEC7}">
  <cacheSource type="worksheet">
    <worksheetSource ref="A1:F44" sheet="May'25"/>
  </cacheSource>
  <cacheFields count="6">
    <cacheField name="Date" numFmtId="14">
      <sharedItems containsSemiMixedTypes="0" containsNonDate="0" containsDate="1" containsString="0" minDate="2025-05-02T00:00:00" maxDate="2025-06-01T00:00:00"/>
    </cacheField>
    <cacheField name="Description" numFmtId="0">
      <sharedItems/>
    </cacheField>
    <cacheField name="Amount" numFmtId="0">
      <sharedItems containsSemiMixedTypes="0" containsString="0" containsNumber="1" minValue="-3250" maxValue="-1.98"/>
    </cacheField>
    <cacheField name="Amount2" numFmtId="44">
      <sharedItems containsSemiMixedTypes="0" containsString="0" containsNumber="1" minValue="1.98" maxValue="3252.49"/>
    </cacheField>
    <cacheField name="Category" numFmtId="0">
      <sharedItems count="19">
        <s v="Personal"/>
        <s v="Restaurants"/>
        <s v="Travel"/>
        <s v="Groceries"/>
        <s v="Entertainment"/>
        <s v="Rent"/>
        <s v="Food" u="1"/>
        <s v="General Merchandise" u="1"/>
        <s v="Online Services" u="1"/>
        <s v="Other Expenses" u="1"/>
        <s v="Hobbies" u="1"/>
        <s v="Personal Care" u="1"/>
        <s v="Electronics" u="1"/>
        <s v="Service Charges/Fees" u="1"/>
        <s v="Paychecks/Salary" u="1"/>
        <s v="Telephone" u="1"/>
        <s v="Dues &amp; Subscriptions" u="1"/>
        <s v="Deposits" u="1"/>
        <s v="Gasoline/Fuel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809.685660995368" createdVersion="8" refreshedVersion="8" minRefreshableVersion="3" recordCount="61" xr:uid="{99369413-32A8-7944-9F7D-081D40674E04}">
  <cacheSource type="worksheet">
    <worksheetSource name="Apr_25"/>
  </cacheSource>
  <cacheFields count="6">
    <cacheField name="Date" numFmtId="14">
      <sharedItems containsSemiMixedTypes="0" containsNonDate="0" containsDate="1" containsString="0" minDate="2025-04-01T00:00:00" maxDate="2025-05-01T00:00:00"/>
    </cacheField>
    <cacheField name="Description" numFmtId="0">
      <sharedItems/>
    </cacheField>
    <cacheField name="Amount" numFmtId="0">
      <sharedItems containsSemiMixedTypes="0" containsString="0" containsNumber="1" minValue="-79.2" maxValue="29.08"/>
    </cacheField>
    <cacheField name="Amount2" numFmtId="44">
      <sharedItems containsSemiMixedTypes="0" containsString="0" containsNumber="1" minValue="-29.08" maxValue="79.2"/>
    </cacheField>
    <cacheField name="Category" numFmtId="0">
      <sharedItems count="18">
        <s v="Travel"/>
        <s v="Personal"/>
        <s v="Groceries"/>
        <s v="Shopping"/>
        <s v="Food"/>
        <s v="Entertainment"/>
        <s v="Personal Care" u="1"/>
        <s v="Online Services" u="1"/>
        <s v="Gasoline/Fuel" u="1"/>
        <s v="Home Improvement" u="1"/>
        <s v="General Merchandise" u="1"/>
        <s v="Hobbies" u="1"/>
        <s v="Electronics" u="1"/>
        <s v="Clothing/Shoes" u="1"/>
        <s v="Other Expenses" u="1"/>
        <s v="Restaurants" u="1"/>
        <s v="Refunds &amp; Reimbursements" u="1"/>
        <s v="Deposits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851.67517962963" createdVersion="8" refreshedVersion="8" minRefreshableVersion="3" recordCount="33" xr:uid="{3BC1B1B7-EBF0-5244-A12C-F18B62F4BB40}">
  <cacheSource type="worksheet">
    <worksheetSource name="June_25"/>
  </cacheSource>
  <cacheFields count="6">
    <cacheField name="Date" numFmtId="14">
      <sharedItems containsSemiMixedTypes="0" containsNonDate="0" containsDate="1" containsString="0" minDate="2025-06-01T00:00:00" maxDate="2025-07-01T00:00:00"/>
    </cacheField>
    <cacheField name="Description" numFmtId="0">
      <sharedItems/>
    </cacheField>
    <cacheField name="Amount" numFmtId="0">
      <sharedItems containsString="0" containsBlank="1" containsNumber="1" minValue="-83.06" maxValue="-1.99"/>
    </cacheField>
    <cacheField name="Amount2" numFmtId="44">
      <sharedItems containsSemiMixedTypes="0" containsString="0" containsNumber="1" minValue="1.99" maxValue="95"/>
    </cacheField>
    <cacheField name="Category" numFmtId="0">
      <sharedItems count="13">
        <s v="Personal"/>
        <s v="Entertainment"/>
        <s v="Food"/>
        <s v="Groceries"/>
        <s v="Shopping"/>
        <s v="Rent"/>
        <s v="VENMO" u="1"/>
        <s v="Electronics" u="1"/>
        <s v="Cable/Satellite" u="1"/>
        <s v="Good" u="1"/>
        <s v="General Merchandise" u="1"/>
        <s v="Online Services" u="1"/>
        <s v="Deposits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882.673001388888" createdVersion="8" refreshedVersion="8" minRefreshableVersion="3" recordCount="64" xr:uid="{C77A4AF9-68B0-9E4C-8B26-A2A849CE25BA}">
  <cacheSource type="worksheet">
    <worksheetSource name="July_25"/>
  </cacheSource>
  <cacheFields count="6">
    <cacheField name="Date" numFmtId="14">
      <sharedItems containsSemiMixedTypes="0" containsNonDate="0" containsDate="1" containsString="0" minDate="2025-07-01T00:00:00" maxDate="2025-08-01T00:00:00"/>
    </cacheField>
    <cacheField name="Description" numFmtId="0">
      <sharedItems/>
    </cacheField>
    <cacheField name="Amount" numFmtId="0">
      <sharedItems containsSemiMixedTypes="0" containsString="0" containsNumber="1" minValue="-3250" maxValue="76.2"/>
    </cacheField>
    <cacheField name="Amount2" numFmtId="44">
      <sharedItems containsSemiMixedTypes="0" containsString="0" containsNumber="1" minValue="-76.2" maxValue="3250"/>
    </cacheField>
    <cacheField name="Category" numFmtId="0">
      <sharedItems count="21">
        <s v="Entertainment"/>
        <s v="Groceries"/>
        <s v="Venmo"/>
        <s v="Food"/>
        <s v="Shopping"/>
        <s v="Rent"/>
        <s v="Personal"/>
        <s v="Unknown" u="1"/>
        <s v="Restaurants" u="1"/>
        <s v="Travel" u="1"/>
        <s v="Other Expenses" u="1"/>
        <s v="Online Services" u="1"/>
        <s v="Paychecks/Salary" u="1"/>
        <s v="General Merchandise" u="1"/>
        <s v="Telephone" u="1"/>
        <s v="Venmp" u="1"/>
        <s v="Clothing/Shoes" u="1"/>
        <s v="Healthcare/Medical" u="1"/>
        <s v="Electronics" u="1"/>
        <s v="Deposits" u="1"/>
        <s v="Personal Care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931.710346759261" createdVersion="8" refreshedVersion="8" minRefreshableVersion="3" recordCount="63" xr:uid="{64D0AAED-4E2E-3E47-B99D-7D6F583C7D31}">
  <cacheSource type="worksheet">
    <worksheetSource name="Table8"/>
  </cacheSource>
  <cacheFields count="6">
    <cacheField name="Date" numFmtId="14">
      <sharedItems containsSemiMixedTypes="0" containsNonDate="0" containsDate="1" containsString="0" minDate="2025-09-01T00:00:00" maxDate="2025-09-27T00:00:00"/>
    </cacheField>
    <cacheField name="Description" numFmtId="0">
      <sharedItems/>
    </cacheField>
    <cacheField name="Amount" numFmtId="0">
      <sharedItems containsSemiMixedTypes="0" containsString="0" containsNumber="1" minValue="-3250" maxValue="17.43"/>
    </cacheField>
    <cacheField name="Amount2" numFmtId="44">
      <sharedItems containsSemiMixedTypes="0" containsString="0" containsNumber="1" minValue="-17.43" maxValue="3250"/>
    </cacheField>
    <cacheField name="Category" numFmtId="0">
      <sharedItems count="14">
        <s v="Food"/>
        <s v="Groceries"/>
        <s v="Rent"/>
        <s v="Personal"/>
        <s v="Ashram"/>
        <s v="Travel"/>
        <s v="Shopping"/>
        <s v="Other Expenses"/>
        <s v="Paychecks/Salary" u="1"/>
        <s v="Personal Care" u="1"/>
        <s v="Clothing/Shoes" u="1"/>
        <s v="Electronics" u="1"/>
        <s v="Online Services" u="1"/>
        <s v="Services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979.371331365743" createdVersion="8" refreshedVersion="8" minRefreshableVersion="3" recordCount="75" xr:uid="{BFDB9800-A677-5C45-BE56-6E2A6074E24E}">
  <cacheSource type="worksheet">
    <worksheetSource name="Table9"/>
  </cacheSource>
  <cacheFields count="6">
    <cacheField name="Date" numFmtId="14">
      <sharedItems containsSemiMixedTypes="0" containsNonDate="0" containsDate="1" containsString="0" minDate="2025-10-01T00:00:00" maxDate="2025-11-01T00:00:00"/>
    </cacheField>
    <cacheField name="Description" numFmtId="0">
      <sharedItems/>
    </cacheField>
    <cacheField name="Amount" numFmtId="0">
      <sharedItems containsSemiMixedTypes="0" containsString="0" containsNumber="1" minValue="-3250" maxValue="-0.33"/>
    </cacheField>
    <cacheField name="Amount2" numFmtId="0">
      <sharedItems containsSemiMixedTypes="0" containsString="0" containsNumber="1" minValue="0.33" maxValue="680.3"/>
    </cacheField>
    <cacheField name="Category" numFmtId="0">
      <sharedItems count="9">
        <s v="Groceries"/>
        <s v="Personal"/>
        <s v="Food"/>
        <s v="Rent"/>
        <s v="Australia DY"/>
        <s v="Deposits" u="1"/>
        <s v="Transfers" u="1"/>
        <s v="Credit Card Payments" u="1"/>
        <s v="Transportation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5993.809723842591" createdVersion="8" refreshedVersion="8" minRefreshableVersion="3" recordCount="69" xr:uid="{68C6BCFE-5374-3E4C-ABEA-A80453A4174B}">
  <cacheSource type="worksheet">
    <worksheetSource name="Nov_25"/>
  </cacheSource>
  <cacheFields count="6">
    <cacheField name="Date" numFmtId="14">
      <sharedItems containsSemiMixedTypes="0" containsNonDate="0" containsDate="1" containsString="0" minDate="2025-11-01T00:00:00" maxDate="2025-11-30T00:00:00"/>
    </cacheField>
    <cacheField name="Description" numFmtId="0">
      <sharedItems/>
    </cacheField>
    <cacheField name="Amount" numFmtId="0">
      <sharedItems containsSemiMixedTypes="0" containsString="0" containsNumber="1" minValue="-432.4" maxValue="-0.37"/>
    </cacheField>
    <cacheField name="Amount2" numFmtId="0">
      <sharedItems containsSemiMixedTypes="0" containsString="0" containsNumber="1" minValue="0.37" maxValue="274.36"/>
    </cacheField>
    <cacheField name="Category" numFmtId="0">
      <sharedItems count="25">
        <s v="Australia DY"/>
        <s v="Personal"/>
        <s v="Rent"/>
        <s v="Restaurants"/>
        <s v="Entertainment"/>
        <s v="Groceries"/>
        <s v="Food"/>
        <s v="General Merchandise"/>
        <s v="Travel"/>
        <s v="Transfers" u="1"/>
        <s v="Online Services" u="1"/>
        <s v="Electronics" u="1"/>
        <s v="Deposits" u="1"/>
        <s v="Credit Card Payments" u="1"/>
        <s v="Paychecks/Salary" u="1"/>
        <s v="Automotive" u="1"/>
        <s v="Hobbies" u="1"/>
        <s v="Other Expenses" u="1"/>
        <s v="Service Charges/Fees" u="1"/>
        <s v="Gasoline/Fuel" u="1"/>
        <s v="Personal Care" u="1"/>
        <s v="Clothing/Shoes" u="1"/>
        <s v="Child/Dependent" u="1"/>
        <s v="Dues &amp; Subscriptions" u="1"/>
        <s v="Telephone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ra, Rohan" refreshedDate="46022.866151851849" createdVersion="8" refreshedVersion="8" minRefreshableVersion="3" recordCount="59" xr:uid="{8491215C-5C7C-2948-A9C8-D082487C26B4}">
  <cacheSource type="worksheet">
    <worksheetSource name="Table11"/>
  </cacheSource>
  <cacheFields count="7">
    <cacheField name="Date" numFmtId="14">
      <sharedItems containsSemiMixedTypes="0" containsNonDate="0" containsDate="1" containsString="0" minDate="2025-12-01T00:00:00" maxDate="2025-12-29T00:00:00"/>
    </cacheField>
    <cacheField name="Description" numFmtId="0">
      <sharedItems/>
    </cacheField>
    <cacheField name="Amount2" numFmtId="0">
      <sharedItems/>
    </cacheField>
    <cacheField name="Amount" numFmtId="0">
      <sharedItems containsSemiMixedTypes="0" containsString="0" containsNumber="1" minValue="-3250" maxValue="-1.55"/>
    </cacheField>
    <cacheField name="Amount " numFmtId="0">
      <sharedItems containsSemiMixedTypes="0" containsString="0" containsNumber="1" minValue="1.55" maxValue="3252.49"/>
    </cacheField>
    <cacheField name="Category" numFmtId="0">
      <sharedItems count="26">
        <s v="Travel"/>
        <s v="BAPA Offering"/>
        <s v="Food"/>
        <s v="Personal"/>
        <s v="Groceries"/>
        <s v="Entertainment"/>
        <s v="Shopping"/>
        <s v="Rent"/>
        <s v="Australia DY"/>
        <s v="Electronics" u="1"/>
        <s v="Transfers" u="1"/>
        <s v="Clothing/Shoes" u="1"/>
        <s v="Other Expenses" u="1"/>
        <s v="General Merchandise" u="1"/>
        <s v="Credit Card Payments" u="1"/>
        <s v="Insurance" u="1"/>
        <s v="Healthcare/Medical" u="1"/>
        <s v="Restaurants" u="1"/>
        <s v="Paychecks/Salary" u="1"/>
        <s v="Personal Care" u="1"/>
        <s v="Refunds &amp; Reimbursements" u="1"/>
        <s v="Online Services" u="1"/>
        <s v="Dues &amp; Subscriptions" u="1"/>
        <s v="Service Charges/Fees" u="1"/>
        <s v="Rewards" u="1"/>
        <s v="Telephone" u="1"/>
      </sharedItems>
    </cacheField>
    <cacheField name="Car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d v="2025-01-02T00:00:00"/>
    <s v="Shrimad Rajchandra Div"/>
    <n v="-2.11"/>
    <n v="4.3899999999999997"/>
    <x v="0"/>
    <s v="Credit Card ( ) - Ending in 9734"/>
  </r>
  <r>
    <d v="2025-01-07T00:00:00"/>
    <s v="Apple"/>
    <n v="-9.99"/>
    <n v="9.99"/>
    <x v="1"/>
    <s v="Credit Card - Ending in 7288"/>
  </r>
  <r>
    <d v="2025-01-07T00:00:00"/>
    <s v="Uk Visas And Immigration"/>
    <n v="-13.07"/>
    <n v="13.07"/>
    <x v="2"/>
    <s v="Venture X - Ending in 0381"/>
  </r>
  <r>
    <d v="2025-01-09T00:00:00"/>
    <s v="Avis"/>
    <n v="-7.59"/>
    <n v="7.59"/>
    <x v="3"/>
    <s v="Venture X - Ending in 0381"/>
  </r>
  <r>
    <d v="2025-01-09T00:00:00"/>
    <s v="VENMO"/>
    <n v="-5"/>
    <n v="5"/>
    <x v="1"/>
    <s v="Credit Card ( ) - Ending in 9734"/>
  </r>
  <r>
    <d v="2025-01-09T00:00:00"/>
    <s v="Uber Eats"/>
    <n v="-22.44"/>
    <n v="22.44"/>
    <x v="0"/>
    <s v="Credit Card ( ) - Ending in 9734"/>
  </r>
  <r>
    <d v="2025-01-09T00:00:00"/>
    <s v="VENMO"/>
    <n v="-4.25"/>
    <n v="4.25"/>
    <x v="1"/>
    <s v="Credit Card ( ) - Ending in 9734"/>
  </r>
  <r>
    <d v="2025-01-09T00:00:00"/>
    <s v="VENMO"/>
    <n v="-9.99"/>
    <n v="9.99"/>
    <x v="1"/>
    <s v="Credit Card ( ) - Ending in 9734"/>
  </r>
  <r>
    <d v="2025-01-09T00:00:00"/>
    <s v="Chipotle Mexican Grill"/>
    <n v="-12.85"/>
    <n v="12.85"/>
    <x v="0"/>
    <s v="Credit Card ( ) - Ending in 9734"/>
  </r>
  <r>
    <d v="2025-01-09T00:00:00"/>
    <s v="Uber"/>
    <n v="-51.38"/>
    <n v="51.38"/>
    <x v="2"/>
    <s v="Credit Card ( ) - Ending in 9734"/>
  </r>
  <r>
    <d v="2025-01-11T00:00:00"/>
    <s v="VENMO"/>
    <n v="-5"/>
    <n v="5"/>
    <x v="1"/>
    <s v="Credit Card ( ) - Ending in 9734"/>
  </r>
  <r>
    <d v="2025-01-11T00:00:00"/>
    <s v="VENMO"/>
    <n v="-5"/>
    <n v="5"/>
    <x v="1"/>
    <s v="Credit Card ( ) - Ending in 9734"/>
  </r>
  <r>
    <d v="2025-01-11T00:00:00"/>
    <s v="VENMO"/>
    <n v="-4.25"/>
    <n v="4.25"/>
    <x v="1"/>
    <s v="Credit Card ( ) - Ending in 9734"/>
  </r>
  <r>
    <d v="2025-01-11T00:00:00"/>
    <s v="VENMO"/>
    <n v="-4.25"/>
    <n v="4.25"/>
    <x v="1"/>
    <s v="Credit Card ( ) - Ending in 9734"/>
  </r>
  <r>
    <d v="2025-01-13T00:00:00"/>
    <s v="Chipotle Mexican Grill"/>
    <n v="-13.39"/>
    <n v="13.39"/>
    <x v="0"/>
    <s v="Credit Card ( ) - Ending in 9734"/>
  </r>
  <r>
    <d v="2025-01-13T00:00:00"/>
    <s v="VENMO"/>
    <n v="-5"/>
    <n v="5"/>
    <x v="1"/>
    <s v="Credit Card ( ) - Ending in 9734"/>
  </r>
  <r>
    <d v="2025-01-13T00:00:00"/>
    <s v="VENMO"/>
    <n v="-4.25"/>
    <n v="4.25"/>
    <x v="1"/>
    <s v="Credit Card ( ) - Ending in 9734"/>
  </r>
  <r>
    <d v="2025-01-14T00:00:00"/>
    <s v="Amazon"/>
    <n v="-48.53"/>
    <n v="48.53"/>
    <x v="4"/>
    <s v="Credit Card - Ending in 7288"/>
  </r>
  <r>
    <d v="2025-01-14T00:00:00"/>
    <s v="Amazon Nyc Cafe"/>
    <n v="-10.56"/>
    <n v="10.56"/>
    <x v="0"/>
    <s v="Credit Card ( ) - Ending in 9734"/>
  </r>
  <r>
    <d v="2025-01-14T00:00:00"/>
    <s v="Target"/>
    <n v="-4.34"/>
    <n v="4.34"/>
    <x v="4"/>
    <s v="Venture X - Ending in 0381"/>
  </r>
  <r>
    <d v="2025-01-14T00:00:00"/>
    <s v="Trader Joe's"/>
    <n v="-39.299999999999997"/>
    <n v="39.299999999999997"/>
    <x v="4"/>
    <s v="Venture X - Ending in 0381"/>
  </r>
  <r>
    <d v="2025-01-14T00:00:00"/>
    <s v="Emeraldco"/>
    <n v="-5.89"/>
    <n v="5.89"/>
    <x v="3"/>
    <s v="Credit Card ( ) - Ending in 9734"/>
  </r>
  <r>
    <d v="2025-01-15T00:00:00"/>
    <s v="Amazon"/>
    <n v="-1"/>
    <n v="1"/>
    <x v="3"/>
    <s v="Credit Card - Ending in 7288"/>
  </r>
  <r>
    <d v="2025-01-15T00:00:00"/>
    <s v="Uber"/>
    <n v="-9.99"/>
    <n v="9.99"/>
    <x v="2"/>
    <s v="Credit Card ( ) - Ending in 9734"/>
  </r>
  <r>
    <d v="2025-01-15T00:00:00"/>
    <s v="X0245 Crunch Greenpoint"/>
    <n v="-0.26"/>
    <n v="0.26"/>
    <x v="1"/>
    <s v="Venture X - Ending in 0381"/>
  </r>
  <r>
    <d v="2025-01-16T00:00:00"/>
    <s v="VENMO"/>
    <n v="-5"/>
    <n v="5"/>
    <x v="1"/>
    <s v="Credit Card ( ) - Ending in 9734"/>
  </r>
  <r>
    <d v="2025-01-16T00:00:00"/>
    <s v="VENMO"/>
    <n v="-5"/>
    <n v="5"/>
    <x v="1"/>
    <s v="Credit Card ( ) - Ending in 9734"/>
  </r>
  <r>
    <d v="2025-01-16T00:00:00"/>
    <s v="VENMO"/>
    <n v="-4.25"/>
    <n v="4.25"/>
    <x v="1"/>
    <s v="Credit Card ( ) - Ending in 9734"/>
  </r>
  <r>
    <d v="2025-01-16T00:00:00"/>
    <s v="Previti Pizza"/>
    <n v="-4.51"/>
    <n v="4.51"/>
    <x v="0"/>
    <s v="Venture X - Ending in 0381"/>
  </r>
  <r>
    <d v="2025-01-17T00:00:00"/>
    <s v="Trader Joe's"/>
    <n v="-27.43"/>
    <n v="27.43"/>
    <x v="4"/>
    <s v="Venture X - Ending in 0381"/>
  </r>
  <r>
    <d v="2025-01-17T00:00:00"/>
    <s v="Help.max.com"/>
    <n v="-2.99"/>
    <n v="2.99"/>
    <x v="5"/>
    <s v="Venture X - Ending in 0381"/>
  </r>
  <r>
    <d v="2025-01-18T00:00:00"/>
    <s v="Apple"/>
    <n v="-2.99"/>
    <n v="2.99"/>
    <x v="1"/>
    <s v="Credit Card - Ending in 7288"/>
  </r>
  <r>
    <d v="2025-01-19T00:00:00"/>
    <s v="Ebay"/>
    <n v="-134.69"/>
    <n v="134.69"/>
    <x v="6"/>
    <s v="Credit Card - Ending in 7288"/>
  </r>
  <r>
    <d v="2025-01-20T00:00:00"/>
    <s v="Target"/>
    <n v="-8.27"/>
    <n v="8.27"/>
    <x v="4"/>
    <s v="Venture X - Ending in 0381"/>
  </r>
  <r>
    <d v="2025-01-20T00:00:00"/>
    <s v="Trader Joe's"/>
    <n v="-13.76"/>
    <n v="13.76"/>
    <x v="4"/>
    <s v="Venture X - Ending in 0381"/>
  </r>
  <r>
    <d v="2025-01-21T00:00:00"/>
    <s v="VENMO"/>
    <n v="-5"/>
    <n v="5"/>
    <x v="1"/>
    <s v="Credit Card - Ending in 7288"/>
  </r>
  <r>
    <d v="2025-01-22T00:00:00"/>
    <s v="VENMO"/>
    <n v="-5"/>
    <n v="5"/>
    <x v="1"/>
    <s v="Credit Card - Ending in 7288"/>
  </r>
  <r>
    <d v="2025-01-22T00:00:00"/>
    <s v="VENMO"/>
    <n v="-4.25"/>
    <n v="4.25"/>
    <x v="1"/>
    <s v="Credit Card - Ending in 7288"/>
  </r>
  <r>
    <d v="2025-01-22T00:00:00"/>
    <s v="VENMO"/>
    <n v="-5"/>
    <n v="5"/>
    <x v="1"/>
    <s v="Credit Card - Ending in 7288"/>
  </r>
  <r>
    <d v="2025-01-22T00:00:00"/>
    <s v="Barnes &amp; Noble"/>
    <n v="-28.31"/>
    <n v="28.31"/>
    <x v="6"/>
    <s v="Venture X - Ending in 0381"/>
  </r>
  <r>
    <d v="2025-01-24T00:00:00"/>
    <s v="Uber Eats"/>
    <n v="-19.8"/>
    <n v="19.8"/>
    <x v="0"/>
    <s v="Credit Card ( ) - Ending in 9734"/>
  </r>
  <r>
    <d v="2025-01-24T00:00:00"/>
    <s v="Lyft"/>
    <n v="-28.74"/>
    <n v="28.74"/>
    <x v="2"/>
    <s v="Credit Card ( ) - Ending in 9734"/>
  </r>
  <r>
    <d v="2025-01-25T00:00:00"/>
    <s v="Thai Chaiyo Tustin"/>
    <n v="-192.72"/>
    <n v="192.72"/>
    <x v="0"/>
    <s v="Credit Card ( ) - Ending in 9734"/>
  </r>
  <r>
    <d v="2025-01-25T00:00:00"/>
    <s v="Amazon Marketplace"/>
    <n v="-16.13"/>
    <n v="16.13"/>
    <x v="6"/>
    <s v="Credit Card - Ending in 7288"/>
  </r>
  <r>
    <d v="2025-01-26T00:00:00"/>
    <s v="Amazon"/>
    <n v="-34.47"/>
    <n v="34.47"/>
    <x v="6"/>
    <s v="Credit Card - Ending in 7288"/>
  </r>
  <r>
    <d v="2025-01-28T00:00:00"/>
    <s v="Ace Hardware"/>
    <n v="-3.88"/>
    <n v="3.88"/>
    <x v="6"/>
    <s v="Venture X - Ending in 0381"/>
  </r>
  <r>
    <d v="2025-01-28T00:00:00"/>
    <s v="Ralphs"/>
    <n v="-1.04"/>
    <n v="1.04"/>
    <x v="4"/>
    <s v="Venture X - Ending in 0381"/>
  </r>
  <r>
    <d v="2025-01-29T00:00:00"/>
    <s v="Vons"/>
    <n v="-7.18"/>
    <n v="7.18"/>
    <x v="4"/>
    <s v="Venture X - Ending in 0381"/>
  </r>
  <r>
    <d v="2025-01-30T00:00:00"/>
    <s v="Trader Joe's"/>
    <n v="-4.79"/>
    <n v="4.79"/>
    <x v="4"/>
    <s v="Credit Card ( ) - Ending in 9734"/>
  </r>
  <r>
    <d v="2025-01-30T00:00:00"/>
    <s v="Amazon"/>
    <n v="-96.94"/>
    <n v="96.94"/>
    <x v="6"/>
    <s v="Credit Card - Ending in 7288"/>
  </r>
  <r>
    <d v="2025-01-30T00:00:00"/>
    <s v="Amazon"/>
    <n v="-223.16"/>
    <n v="223.16"/>
    <x v="6"/>
    <s v="Credit Card - Ending in 7288"/>
  </r>
  <r>
    <d v="2025-01-31T00:00:00"/>
    <s v="Amazon Marketplace"/>
    <n v="-179.63"/>
    <n v="179.63"/>
    <x v="6"/>
    <s v="Credit Card - Ending in 72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d v="2025-02-01T00:00:00"/>
    <s v="Target"/>
    <n v="-22.52"/>
    <n v="22.52"/>
    <x v="0"/>
    <s v="Credit Card - Ending in 7288"/>
  </r>
  <r>
    <d v="2025-02-01T00:00:00"/>
    <s v="Target"/>
    <n v="-83.21"/>
    <n v="83.21"/>
    <x v="0"/>
    <s v="Credit Card - Ending in 7288"/>
  </r>
  <r>
    <d v="2025-02-01T00:00:00"/>
    <s v="Target"/>
    <n v="-48.51"/>
    <n v="48.51"/>
    <x v="0"/>
    <s v="Credit Card - Ending in 7288"/>
  </r>
  <r>
    <d v="2025-02-02T00:00:00"/>
    <s v="Everyday Eatery"/>
    <n v="-17.239999999999998"/>
    <n v="17.239999999999998"/>
    <x v="1"/>
    <s v="Credit Card ( ) - Ending in 9734"/>
  </r>
  <r>
    <d v="2025-02-03T00:00:00"/>
    <s v="Crunch Fitness"/>
    <n v="-33.340000000000003"/>
    <n v="33.340000000000003"/>
    <x v="2"/>
    <s v="Venture X - Ending in 3426"/>
  </r>
  <r>
    <d v="2025-02-04T00:00:00"/>
    <s v="Amazon"/>
    <n v="-24.48"/>
    <n v="24.48"/>
    <x v="3"/>
    <s v="Credit Card - Ending in 7288"/>
  </r>
  <r>
    <d v="2025-02-04T00:00:00"/>
    <s v="Delta Air Lines"/>
    <n v="-45"/>
    <n v="45"/>
    <x v="4"/>
    <s v="Delta Skymiles Platinum Card ( ) - Ending in 1003"/>
  </r>
  <r>
    <d v="2025-02-04T00:00:00"/>
    <s v="Boomers"/>
    <n v="-8"/>
    <n v="8"/>
    <x v="5"/>
    <s v="Venture X - Ending in 3426"/>
  </r>
  <r>
    <d v="2025-02-04T00:00:00"/>
    <s v="Boomers"/>
    <n v="-15.99"/>
    <n v="15.99"/>
    <x v="5"/>
    <s v="Venture X - Ending in 3426"/>
  </r>
  <r>
    <d v="2025-02-04T00:00:00"/>
    <s v="Uber"/>
    <n v="-93.11"/>
    <n v="93.11"/>
    <x v="4"/>
    <s v="Credit Card ( ) - Ending in 9734"/>
  </r>
  <r>
    <d v="2025-02-04T00:00:00"/>
    <s v="Whole Foods Market"/>
    <n v="-2.89"/>
    <n v="2.89"/>
    <x v="0"/>
    <s v="Credit Card ( ) - Ending in 9734"/>
  </r>
  <r>
    <d v="2025-02-04T00:00:00"/>
    <s v="Whole Foods Market"/>
    <n v="-61.92"/>
    <n v="61.92"/>
    <x v="0"/>
    <s v="Credit Card ( ) - Ending in 9734"/>
  </r>
  <r>
    <d v="2025-02-04T00:00:00"/>
    <s v="Chipotle Mexican Grill"/>
    <n v="-12.85"/>
    <n v="12.85"/>
    <x v="1"/>
    <s v="Credit Card ( ) - Ending in 9734"/>
  </r>
  <r>
    <d v="2025-02-05T00:00:00"/>
    <s v="VENMO"/>
    <n v="-4.25"/>
    <n v="4.25"/>
    <x v="2"/>
    <s v="Credit Card - Ending in 7288"/>
  </r>
  <r>
    <d v="2025-02-05T00:00:00"/>
    <s v="VENMO"/>
    <n v="-5"/>
    <n v="5"/>
    <x v="2"/>
    <s v="Credit Card - Ending in 7288"/>
  </r>
  <r>
    <d v="2025-02-06T00:00:00"/>
    <s v="Trader Joe's"/>
    <n v="-64.28"/>
    <n v="64.28"/>
    <x v="0"/>
    <s v="Venture X - Ending in 3426"/>
  </r>
  <r>
    <d v="2025-02-06T00:00:00"/>
    <s v="Target"/>
    <n v="-74.95"/>
    <n v="47.74"/>
    <x v="0"/>
    <s v="Venture X - Ending in 3426"/>
  </r>
  <r>
    <d v="2025-02-06T00:00:00"/>
    <s v="John F. Kennedy International Airport"/>
    <n v="-6.53"/>
    <n v="6.53"/>
    <x v="4"/>
    <s v="Venture X - Ending in 3426"/>
  </r>
  <r>
    <d v="2025-02-07T00:00:00"/>
    <s v="VENMO"/>
    <n v="-4.25"/>
    <n v="4.25"/>
    <x v="2"/>
    <s v="Credit Card - Ending in 7288"/>
  </r>
  <r>
    <d v="2025-02-07T00:00:00"/>
    <s v="VENMO"/>
    <n v="-5"/>
    <n v="5"/>
    <x v="2"/>
    <s v="Credit Card - Ending in 7288"/>
  </r>
  <r>
    <d v="2025-02-07T00:00:00"/>
    <s v="VENMO"/>
    <n v="-5"/>
    <n v="5"/>
    <x v="2"/>
    <s v="Credit Card - Ending in 7288"/>
  </r>
  <r>
    <d v="2025-02-07T00:00:00"/>
    <s v="Amazon Marketplace"/>
    <n v="-8.81"/>
    <n v="8.81"/>
    <x v="3"/>
    <s v="Credit Card - Ending in 7288"/>
  </r>
  <r>
    <d v="2025-02-07T00:00:00"/>
    <s v="Apple"/>
    <n v="-9.99"/>
    <n v="9.99"/>
    <x v="5"/>
    <s v="Credit Card - Ending in 7288"/>
  </r>
  <r>
    <d v="2025-02-07T00:00:00"/>
    <s v="Paris Baguette"/>
    <n v="-4.3899999999999997"/>
    <n v="4.3899999999999997"/>
    <x v="1"/>
    <s v="Venture X - Ending in 3426"/>
  </r>
  <r>
    <d v="2025-02-07T00:00:00"/>
    <s v="La Vera Pizza"/>
    <n v="-3.27"/>
    <n v="3.27"/>
    <x v="1"/>
    <s v="Venture X - Ending in 3426"/>
  </r>
  <r>
    <d v="2025-02-08T00:00:00"/>
    <s v="Delta Air Lines"/>
    <n v="-5.6"/>
    <n v="5.6"/>
    <x v="4"/>
    <s v="Delta Skymiles Platinum Card ( ) - Ending in 1003"/>
  </r>
  <r>
    <d v="2025-02-08T00:00:00"/>
    <s v="Tst* Spicy Moon - Bowery"/>
    <n v="-35.58"/>
    <n v="35.58"/>
    <x v="1"/>
    <s v="Credit Card ( ) - Ending in 9734"/>
  </r>
  <r>
    <d v="2025-02-11T00:00:00"/>
    <s v="VENMO"/>
    <n v="-2.97"/>
    <n v="2.97"/>
    <x v="2"/>
    <s v="Credit Card - Ending in 7288"/>
  </r>
  <r>
    <d v="2025-02-11T00:00:00"/>
    <s v="Bleecker's Finest Deli"/>
    <n v="-3.39"/>
    <n v="3.39"/>
    <x v="1"/>
    <s v="Credit Card ( ) - Ending in 9734"/>
  </r>
  <r>
    <d v="2025-02-11T00:00:00"/>
    <s v="Rei"/>
    <n v="-35"/>
    <n v="35"/>
    <x v="3"/>
    <s v="Credit Card ( ) - Ending in 9734"/>
  </r>
  <r>
    <d v="2025-02-12T00:00:00"/>
    <s v="VENMO"/>
    <n v="-5"/>
    <n v="5"/>
    <x v="2"/>
    <s v="Credit Card - Ending in 7288"/>
  </r>
  <r>
    <d v="2025-02-12T00:00:00"/>
    <s v="VENMO"/>
    <n v="-5"/>
    <n v="5"/>
    <x v="2"/>
    <s v="Credit Card - Ending in 7288"/>
  </r>
  <r>
    <d v="2025-02-12T00:00:00"/>
    <s v="VENMO"/>
    <n v="-4.25"/>
    <n v="4.25"/>
    <x v="2"/>
    <s v="Credit Card - Ending in 7288"/>
  </r>
  <r>
    <d v="2025-02-12T00:00:00"/>
    <s v="La Vera Pizza"/>
    <n v="-4.9000000000000004"/>
    <n v="4.9000000000000004"/>
    <x v="1"/>
    <s v="Credit Card ( ) - Ending in 9734"/>
  </r>
  <r>
    <d v="2025-02-13T00:00:00"/>
    <s v="VENMO"/>
    <n v="-5"/>
    <n v="5"/>
    <x v="2"/>
    <s v="Credit Card - Ending in 7288"/>
  </r>
  <r>
    <d v="2025-02-13T00:00:00"/>
    <s v="94 Corner Cafe"/>
    <n v="-3.34"/>
    <n v="3.34"/>
    <x v="1"/>
    <s v="Credit Card ( ) - Ending in 9734"/>
  </r>
  <r>
    <d v="2025-02-13T00:00:00"/>
    <s v="Bank Of America"/>
    <n v="-20"/>
    <n v="20"/>
    <x v="2"/>
    <s v="Checking Account - Ending in 7017"/>
  </r>
  <r>
    <d v="2025-02-14T00:00:00"/>
    <s v="Uber"/>
    <n v="-9.99"/>
    <n v="9.99"/>
    <x v="4"/>
    <s v="Credit Card ( ) - Ending in 9734"/>
  </r>
  <r>
    <d v="2025-02-16T00:00:00"/>
    <s v="Whole Foods Market"/>
    <n v="-5.0999999999999996"/>
    <n v="5.0999999999999996"/>
    <x v="0"/>
    <s v="Credit Card ( ) - Ending in 9734"/>
  </r>
  <r>
    <d v="2025-02-18T00:00:00"/>
    <s v="Apple"/>
    <n v="-2.99"/>
    <n v="2.99"/>
    <x v="5"/>
    <s v="Credit Card - Ending in 7288"/>
  </r>
  <r>
    <d v="2025-02-18T00:00:00"/>
    <s v="Google One"/>
    <n v="-0.49"/>
    <n v="0.49"/>
    <x v="2"/>
    <s v="Credit Card ( ) - Ending in 9734"/>
  </r>
  <r>
    <d v="2025-02-19T00:00:00"/>
    <s v="Delta Air Lines"/>
    <n v="-154.02000000000001"/>
    <n v="154.02000000000001"/>
    <x v="4"/>
    <s v="Delta Skymiles Platinum Card ( ) - Ending in 1003"/>
  </r>
  <r>
    <d v="2025-02-20T00:00:00"/>
    <s v="Trader Joe's"/>
    <n v="-18.45"/>
    <n v="18.45"/>
    <x v="0"/>
    <s v="Venture X - Ending in 3426"/>
  </r>
  <r>
    <d v="2025-02-20T00:00:00"/>
    <s v="Sprouts Farmers Market"/>
    <n v="-36.380000000000003"/>
    <n v="36.380000000000003"/>
    <x v="0"/>
    <s v="Venture X - Ending in 3426"/>
  </r>
  <r>
    <d v="2025-02-22T00:00:00"/>
    <s v="Amazon"/>
    <n v="-65.040000000000006"/>
    <n v="65.040000000000006"/>
    <x v="3"/>
    <s v="Credit Card - Ending in 7288"/>
  </r>
  <r>
    <d v="2025-02-22T00:00:00"/>
    <s v="Amazon Marketplace"/>
    <n v="-108.86"/>
    <n v="108.86"/>
    <x v="3"/>
    <s v="Credit Card - Ending in 7288"/>
  </r>
  <r>
    <d v="2025-02-23T00:00:00"/>
    <s v="Amazon Marketplace"/>
    <n v="-301.42"/>
    <n v="153.55000000000001"/>
    <x v="3"/>
    <s v="Credit Card - Ending in 7288"/>
  </r>
  <r>
    <d v="2025-02-24T00:00:00"/>
    <s v="Amazon Marketplace"/>
    <n v="-195.96"/>
    <n v="195.96"/>
    <x v="3"/>
    <s v="Credit Card - Ending in 7288"/>
  </r>
  <r>
    <d v="2025-02-24T00:00:00"/>
    <s v="Seaside Rackets"/>
    <n v="-14"/>
    <n v="14"/>
    <x v="3"/>
    <s v="Venture X - Ending in 3426"/>
  </r>
  <r>
    <d v="2025-02-24T00:00:00"/>
    <s v="Seaside Rackets"/>
    <n v="-42.5"/>
    <n v="42.5"/>
    <x v="3"/>
    <s v="Venture X - Ending in 3426"/>
  </r>
  <r>
    <d v="2025-02-25T00:00:00"/>
    <s v="Tamarack Hair And Nails"/>
    <n v="-25"/>
    <n v="25"/>
    <x v="2"/>
    <s v="Venture X - Ending in 3426"/>
  </r>
  <r>
    <d v="2025-02-25T00:00:00"/>
    <s v="Rei"/>
    <n v="-37.72"/>
    <n v="37.72"/>
    <x v="3"/>
    <s v="Venture X - Ending in 3426"/>
  </r>
  <r>
    <d v="2025-02-26T00:00:00"/>
    <s v="Amazon"/>
    <n v="-238.96"/>
    <n v="238.96"/>
    <x v="3"/>
    <s v="Credit Card - Ending in 7288"/>
  </r>
  <r>
    <d v="2025-02-26T00:00:00"/>
    <s v="Vons"/>
    <n v="-4.99"/>
    <n v="4.99"/>
    <x v="0"/>
    <s v="Venture X - Ending in 342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d v="2025-03-03T00:00:00"/>
    <s v="Amazon"/>
    <n v="-2.87"/>
    <n v="2.87"/>
    <x v="0"/>
    <s v="Credit Card - Ending in 7288"/>
  </r>
  <r>
    <d v="2025-03-03T00:00:00"/>
    <s v="Target"/>
    <n v="-4.1399999999999997"/>
    <n v="79.759999999999991"/>
    <x v="1"/>
    <s v="Checking Account - Ending in 7017"/>
  </r>
  <r>
    <d v="2025-03-03T00:00:00"/>
    <s v="Bank Of America"/>
    <n v="-16.64"/>
    <n v="16.64"/>
    <x v="2"/>
    <s v="Checking Account - Ending in 7017"/>
  </r>
  <r>
    <d v="2025-03-03T00:00:00"/>
    <s v="Delta Air Lines"/>
    <n v="-5.6"/>
    <n v="5.6"/>
    <x v="3"/>
    <s v="Delta Skymiles Platinum Card ( ) - Ending in 1003"/>
  </r>
  <r>
    <d v="2025-03-03T00:00:00"/>
    <s v="Crunch Fitness"/>
    <n v="-33.340000000000003"/>
    <n v="33.340000000000003"/>
    <x v="4"/>
    <s v="Venture X - Ending in 3426"/>
  </r>
  <r>
    <d v="2025-03-04T00:00:00"/>
    <s v="Trader Joe's"/>
    <n v="-61.32"/>
    <n v="61.32"/>
    <x v="1"/>
    <s v="Venture X - Ending in 3426"/>
  </r>
  <r>
    <d v="2025-03-06T00:00:00"/>
    <s v="Grand Street Pizza"/>
    <n v="-6.53"/>
    <n v="6.53"/>
    <x v="5"/>
    <s v="Credit Card ( ) - Ending in 9734"/>
  </r>
  <r>
    <d v="2025-03-06T00:00:00"/>
    <s v="Essex Market"/>
    <n v="-6.53"/>
    <n v="6.53"/>
    <x v="1"/>
    <s v="Credit Card ( ) - Ending in 9734"/>
  </r>
  <r>
    <d v="2025-03-06T00:00:00"/>
    <s v="Amazon"/>
    <n v="54.42"/>
    <n v="-54.42"/>
    <x v="6"/>
    <s v="Credit Card - Ending in 7288"/>
  </r>
  <r>
    <d v="2025-03-07T00:00:00"/>
    <s v="VENMO"/>
    <n v="-5"/>
    <n v="5"/>
    <x v="6"/>
    <s v="Credit Card ( ) - Ending in 9734"/>
  </r>
  <r>
    <d v="2025-03-07T00:00:00"/>
    <s v="VENMO"/>
    <n v="-5"/>
    <n v="5"/>
    <x v="6"/>
    <s v="Credit Card ( ) - Ending in 9734"/>
  </r>
  <r>
    <d v="2025-03-07T00:00:00"/>
    <s v="Apple"/>
    <n v="-9.99"/>
    <n v="9.99"/>
    <x v="6"/>
    <s v="Credit Card - Ending in 7288"/>
  </r>
  <r>
    <d v="2025-03-07T00:00:00"/>
    <s v="The Pickle Guys"/>
    <n v="-6.5"/>
    <n v="6.5"/>
    <x v="6"/>
    <s v="Venture X - Ending in 3426"/>
  </r>
  <r>
    <d v="2025-03-08T00:00:00"/>
    <s v="Taco Bell"/>
    <n v="-7.41"/>
    <n v="7.41"/>
    <x v="7"/>
    <s v="Credit Card - Ending in 7288"/>
  </r>
  <r>
    <d v="2025-03-08T00:00:00"/>
    <s v="Wawa"/>
    <n v="-9.69"/>
    <n v="9.69"/>
    <x v="7"/>
    <s v="Credit Card ( ) - Ending in 9734"/>
  </r>
  <r>
    <d v="2025-03-10T00:00:00"/>
    <s v="Payrange"/>
    <n v="-10"/>
    <n v="10"/>
    <x v="8"/>
    <s v="Venture X - Ending in 3426"/>
  </r>
  <r>
    <d v="2025-03-10T00:00:00"/>
    <s v="Wawa"/>
    <n v="-3.29"/>
    <n v="3.29"/>
    <x v="7"/>
    <s v="Venture X - Ending in 3426"/>
  </r>
  <r>
    <d v="2025-03-11T00:00:00"/>
    <s v="Amazon"/>
    <n v="41.68"/>
    <n v="-41.68"/>
    <x v="6"/>
    <s v="Credit Card - Ending in 7288"/>
  </r>
  <r>
    <d v="2025-03-11T00:00:00"/>
    <s v="Chipotle Mexican Grill"/>
    <n v="-12.68"/>
    <n v="12.68"/>
    <x v="7"/>
    <s v="Credit Card ( ) - Ending in 9734"/>
  </r>
  <r>
    <d v="2025-03-11T00:00:00"/>
    <s v="H Mart"/>
    <n v="-8.98"/>
    <n v="8.98"/>
    <x v="1"/>
    <s v="Credit Card ( ) - Ending in 9734"/>
  </r>
  <r>
    <d v="2025-03-12T00:00:00"/>
    <s v="West Side Market"/>
    <n v="-14.64"/>
    <n v="14.64"/>
    <x v="1"/>
    <s v="Venture X - Ending in 3426"/>
  </r>
  <r>
    <d v="2025-03-13T00:00:00"/>
    <s v="Famous Famiglia"/>
    <n v="-3.81"/>
    <n v="3.81"/>
    <x v="7"/>
    <s v="Credit Card ( ) - Ending in 9734"/>
  </r>
  <r>
    <d v="2025-03-14T00:00:00"/>
    <s v="L'industrie Pizzeria"/>
    <n v="-37.020000000000003"/>
    <n v="6.1700000000000008"/>
    <x v="7"/>
    <s v="Credit Card ( ) - Ending in 9734"/>
  </r>
  <r>
    <d v="2025-03-14T00:00:00"/>
    <s v="Chip City"/>
    <n v="-5.99"/>
    <n v="2.9950000000000001"/>
    <x v="7"/>
    <s v="Credit Card ( ) - Ending in 9734"/>
  </r>
  <r>
    <d v="2025-03-14T00:00:00"/>
    <s v="La Pecora Bianca"/>
    <n v="-94.93"/>
    <n v="31.643333333333334"/>
    <x v="7"/>
    <s v="Credit Card ( ) - Ending in 9734"/>
  </r>
  <r>
    <d v="2025-03-15T00:00:00"/>
    <s v="Tompkins Square Bagels"/>
    <n v="-11.52"/>
    <n v="11.52"/>
    <x v="7"/>
    <s v="Credit Card ( ) - Ending in 9734"/>
  </r>
  <r>
    <d v="2025-03-15T00:00:00"/>
    <s v="Uber"/>
    <n v="-9.99"/>
    <n v="9.99"/>
    <x v="3"/>
    <s v="Credit Card ( ) - Ending in 9734"/>
  </r>
  <r>
    <d v="2025-03-15T00:00:00"/>
    <s v="Whole Foods Market"/>
    <n v="-11.56"/>
    <n v="11.56"/>
    <x v="1"/>
    <s v="Venture X - Ending in 3426"/>
  </r>
  <r>
    <d v="2025-03-15T00:00:00"/>
    <s v="Trader Joe's"/>
    <n v="-36.590000000000003"/>
    <n v="36.590000000000003"/>
    <x v="1"/>
    <s v="Venture X - Ending in 3426"/>
  </r>
  <r>
    <d v="2025-03-15T00:00:00"/>
    <s v="Crunch Fitness"/>
    <n v="-62.68"/>
    <n v="62.68"/>
    <x v="4"/>
    <s v="Venture X - Ending in 3426"/>
  </r>
  <r>
    <d v="2025-03-16T00:00:00"/>
    <s v="Best Pizza"/>
    <n v="-4.1100000000000003"/>
    <n v="4.1100000000000003"/>
    <x v="7"/>
    <s v="Credit Card ( ) - Ending in 9734"/>
  </r>
  <r>
    <d v="2025-03-16T00:00:00"/>
    <s v="L'industrie Pizzeria"/>
    <n v="-9.25"/>
    <n v="9.25"/>
    <x v="7"/>
    <s v="Credit Card ( ) - Ending in 9734"/>
  </r>
  <r>
    <d v="2025-03-16T00:00:00"/>
    <s v="Sq *albero Dei Gelati - D"/>
    <n v="-17.010000000000002"/>
    <n v="17.010000000000002"/>
    <x v="7"/>
    <s v="Credit Card ( ) - Ending in 9734"/>
  </r>
  <r>
    <d v="2025-03-17T00:00:00"/>
    <s v="Tst* Levain Noho Nyc"/>
    <n v="-6.25"/>
    <n v="6.25"/>
    <x v="7"/>
    <s v="Credit Card ( ) - Ending in 9734"/>
  </r>
  <r>
    <d v="2025-03-17T00:00:00"/>
    <s v="Masti"/>
    <n v="-12.83"/>
    <n v="12.83"/>
    <x v="7"/>
    <s v="Credit Card ( ) - Ending in 9734"/>
  </r>
  <r>
    <d v="2025-03-17T00:00:00"/>
    <s v="Maximum Deals"/>
    <n v="-7.61"/>
    <n v="7.61"/>
    <x v="7"/>
    <s v="Venture X - Ending in 3426"/>
  </r>
  <r>
    <d v="2025-03-17T00:00:00"/>
    <s v="Met Museum Of Art"/>
    <n v="-30"/>
    <n v="7.5"/>
    <x v="9"/>
    <s v="Venture X - Ending in 3426"/>
  </r>
  <r>
    <d v="2025-03-17T00:00:00"/>
    <s v="Help.max.com"/>
    <n v="-2.99"/>
    <n v="2.99"/>
    <x v="9"/>
    <s v="Venture X - Ending in 3426"/>
  </r>
  <r>
    <d v="2025-03-17T00:00:00"/>
    <s v="Bleecker Farm"/>
    <n v="-3.1"/>
    <n v="3.1"/>
    <x v="7"/>
    <s v="Venture X - Ending in 3426"/>
  </r>
  <r>
    <d v="2025-03-17T00:00:00"/>
    <s v="Target"/>
    <n v="-5.98"/>
    <n v="17.950000000000003"/>
    <x v="0"/>
    <s v="Checking Account - Ending in 7017"/>
  </r>
  <r>
    <d v="2025-03-18T00:00:00"/>
    <s v="X0245 Crunch Greenpoint"/>
    <n v="-33.340000000000003"/>
    <n v="33.340000000000003"/>
    <x v="4"/>
    <s v="Credit Card ( ) - Ending in 9734"/>
  </r>
  <r>
    <d v="2025-03-18T00:00:00"/>
    <s v="Google Cloud Storage"/>
    <n v="-1.99"/>
    <n v="1.99"/>
    <x v="9"/>
    <s v="Credit Card ( ) - Ending in 9734"/>
  </r>
  <r>
    <d v="2025-03-18T00:00:00"/>
    <s v="Apple"/>
    <n v="-6.98"/>
    <n v="6.98"/>
    <x v="9"/>
    <s v="Credit Card - Ending in 7288"/>
  </r>
  <r>
    <d v="2025-03-22T00:00:00"/>
    <s v="Wawa"/>
    <n v="-5.39"/>
    <n v="5.39"/>
    <x v="7"/>
    <s v="Credit Card - Ending in 7288"/>
  </r>
  <r>
    <d v="2025-03-22T00:00:00"/>
    <s v="Wawa"/>
    <n v="-19.38"/>
    <n v="19.38"/>
    <x v="7"/>
    <s v="Credit Card ( ) - Ending in 9734"/>
  </r>
  <r>
    <d v="2025-03-23T00:00:00"/>
    <s v="Sq *le Petit Monstre"/>
    <n v="-13.06"/>
    <n v="13.06"/>
    <x v="7"/>
    <s v="Credit Card ( ) - Ending in 9734"/>
  </r>
  <r>
    <d v="2025-03-23T00:00:00"/>
    <s v="Doughnut Plant"/>
    <n v="-10.7"/>
    <n v="10.7"/>
    <x v="7"/>
    <s v="Credit Card ( ) - Ending in 9734"/>
  </r>
  <r>
    <d v="2025-03-23T00:00:00"/>
    <s v="Joe's Pizza"/>
    <n v="-11"/>
    <n v="11"/>
    <x v="7"/>
    <s v="Credit Card ( ) - Ending in 9734"/>
  </r>
  <r>
    <d v="2025-03-24T00:00:00"/>
    <s v="Uber Eats"/>
    <n v="-9.1999999999999993"/>
    <n v="9.1999999999999993"/>
    <x v="7"/>
    <s v="Credit Card ( ) - Ending in 9734"/>
  </r>
  <r>
    <d v="2025-03-24T00:00:00"/>
    <s v="Payrange"/>
    <n v="-10"/>
    <n v="10"/>
    <x v="8"/>
    <s v="Credit Card - Ending in 7288"/>
  </r>
  <r>
    <d v="2025-03-24T00:00:00"/>
    <s v="Wawa"/>
    <n v="-3.29"/>
    <n v="3.29"/>
    <x v="7"/>
    <s v="Venture X - Ending in 3426"/>
  </r>
  <r>
    <d v="2025-03-25T00:00:00"/>
    <s v="Spectrum"/>
    <n v="-28.39"/>
    <n v="28.39"/>
    <x v="8"/>
    <s v="Credit Card ( ) - Ending in 9734"/>
  </r>
  <r>
    <d v="2025-03-25T00:00:00"/>
    <s v="Whole Foods Market"/>
    <n v="-10.77"/>
    <n v="10.77"/>
    <x v="1"/>
    <s v="Venture X - Ending in 3426"/>
  </r>
  <r>
    <d v="2025-03-26T00:00:00"/>
    <s v="Cash Rewards Statement Credit"/>
    <n v="49.25"/>
    <n v="-49.25"/>
    <x v="10"/>
    <s v="Credit Card - Ending in 7288"/>
  </r>
  <r>
    <d v="2025-03-26T00:00:00"/>
    <s v="Amazon Marketplace"/>
    <n v="-8.61"/>
    <n v="8.61"/>
    <x v="0"/>
    <s v="Credit Card - Ending in 7288"/>
  </r>
  <r>
    <d v="2025-03-26T00:00:00"/>
    <s v="Uber Eats"/>
    <n v="-24.1"/>
    <n v="24.1"/>
    <x v="7"/>
    <s v="Delta Skymiles Platinum Card ( ) - Ending in 1003"/>
  </r>
  <r>
    <d v="2025-03-27T00:00:00"/>
    <s v="Starbucks"/>
    <n v="-5.75"/>
    <n v="5.75"/>
    <x v="7"/>
    <s v="Credit Card ( ) - Ending in 9734"/>
  </r>
  <r>
    <d v="2025-03-27T00:00:00"/>
    <s v="Taco Bell"/>
    <n v="-12.26"/>
    <n v="12.26"/>
    <x v="7"/>
    <s v="Credit Card ( ) - Ending in 9734"/>
  </r>
  <r>
    <d v="2025-03-31T00:00:00"/>
    <s v="Buca"/>
    <n v="-250"/>
    <n v="22.727272727272727"/>
    <x v="11"/>
    <s v="Venture X - Ending in 3426"/>
  </r>
  <r>
    <d v="2025-03-31T00:00:00"/>
    <s v="Plumeria Vegetarian Enci"/>
    <n v="-67"/>
    <n v="22.333333333333332"/>
    <x v="7"/>
    <s v="Venture X - Ending in 342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25-05-02T00:00:00"/>
    <s v="Sport Clips"/>
    <n v="-30"/>
    <n v="30"/>
    <x v="0"/>
    <s v="Venture X - Ending in 3426"/>
  </r>
  <r>
    <d v="2025-05-03T00:00:00"/>
    <s v="Taco Bell"/>
    <n v="-6.62"/>
    <n v="6.62"/>
    <x v="1"/>
    <s v="Venture X - Ending in 3426"/>
  </r>
  <r>
    <d v="2025-05-03T00:00:00"/>
    <s v="Corner Café"/>
    <n v="-10.7"/>
    <n v="10.7"/>
    <x v="1"/>
    <s v="Credit Card ( ) - Ending in 9734"/>
  </r>
  <r>
    <d v="2025-05-04T00:00:00"/>
    <s v="Friendly Doughnuts"/>
    <n v="-30"/>
    <n v="30"/>
    <x v="1"/>
    <s v="Credit Card ( ) - Ending in 9734"/>
  </r>
  <r>
    <d v="2025-05-05T00:00:00"/>
    <s v="Chevron"/>
    <n v="-5.68"/>
    <n v="5.68"/>
    <x v="0"/>
    <s v="Credit Card ( ) - Ending in 9734"/>
  </r>
  <r>
    <d v="2025-05-05T00:00:00"/>
    <s v="Arco"/>
    <n v="-9.7200000000000006"/>
    <n v="9.7200000000000006"/>
    <x v="0"/>
    <s v="Venture X - Ending in 3426"/>
  </r>
  <r>
    <d v="2025-05-05T00:00:00"/>
    <s v="Lufthansa"/>
    <n v="-5.6"/>
    <n v="5.6"/>
    <x v="2"/>
    <s v="Venture X - Ending in 3426"/>
  </r>
  <r>
    <d v="2025-05-05T00:00:00"/>
    <s v="Arco"/>
    <n v="-30.3"/>
    <n v="30.3"/>
    <x v="0"/>
    <s v="Venture X - Ending in 3426"/>
  </r>
  <r>
    <d v="2025-05-06T00:00:00"/>
    <s v="Starbucks"/>
    <n v="-5.45"/>
    <n v="5.45"/>
    <x v="1"/>
    <s v="Credit Card ( ) - Ending in 9734"/>
  </r>
  <r>
    <d v="2025-05-06T00:00:00"/>
    <s v="Enterprise Rent-a-car"/>
    <n v="-417.22"/>
    <n v="417.22"/>
    <x v="2"/>
    <s v="Venture X - Ending in 3426"/>
  </r>
  <r>
    <d v="2025-05-06T00:00:00"/>
    <s v="Chevron"/>
    <n v="-14.91"/>
    <n v="14.91"/>
    <x v="0"/>
    <s v="Venture X - Ending in 3426"/>
  </r>
  <r>
    <d v="2025-05-07T00:00:00"/>
    <s v="VENMO"/>
    <n v="-1.99"/>
    <n v="1.99"/>
    <x v="0"/>
    <s v="Credit Card - Ending in 7288"/>
  </r>
  <r>
    <d v="2025-05-07T00:00:00"/>
    <s v="Apple"/>
    <n v="-9.99"/>
    <n v="9.99"/>
    <x v="0"/>
    <s v="Credit Card - Ending in 7288"/>
  </r>
  <r>
    <d v="2025-05-08T00:00:00"/>
    <s v="Lufthansa"/>
    <n v="-56.9"/>
    <n v="56.9"/>
    <x v="2"/>
    <s v="Credit Card ( ) - Ending in 9734"/>
  </r>
  <r>
    <d v="2025-05-09T00:00:00"/>
    <s v="Comewel Limited"/>
    <n v="-5"/>
    <n v="5"/>
    <x v="0"/>
    <s v="Credit Card ( ) - Ending in 9734"/>
  </r>
  <r>
    <d v="2025-05-09T00:00:00"/>
    <s v="Nekter Juice Bar"/>
    <n v="-11.39"/>
    <n v="11.39"/>
    <x v="1"/>
    <s v="Credit Card ( ) - Ending in 9734"/>
  </r>
  <r>
    <d v="2025-05-09T00:00:00"/>
    <s v="VENMO"/>
    <n v="-5"/>
    <n v="5"/>
    <x v="0"/>
    <s v="Credit Card - Ending in 7288"/>
  </r>
  <r>
    <d v="2025-05-12T00:00:00"/>
    <s v="La Vera Pizza"/>
    <n v="-6.73"/>
    <n v="6.73"/>
    <x v="1"/>
    <s v="Credit Card ( ) - Ending in 9734"/>
  </r>
  <r>
    <d v="2025-05-12T00:00:00"/>
    <s v="VENMO"/>
    <n v="-5"/>
    <n v="5"/>
    <x v="0"/>
    <s v="Credit Card ( ) - Ending in 9734"/>
  </r>
  <r>
    <d v="2025-05-12T00:00:00"/>
    <s v="Broadway Bagel"/>
    <n v="-9.1999999999999993"/>
    <n v="9.1999999999999993"/>
    <x v="1"/>
    <s v="Credit Card ( ) - Ending in 9734"/>
  </r>
  <r>
    <d v="2025-05-12T00:00:00"/>
    <s v="Comewel Limited"/>
    <n v="-4.25"/>
    <n v="4.25"/>
    <x v="0"/>
    <s v="Credit Card ( ) - Ending in 9734"/>
  </r>
  <r>
    <d v="2025-05-12T00:00:00"/>
    <s v="Uber Eats"/>
    <n v="-7.8"/>
    <n v="7.8"/>
    <x v="1"/>
    <s v="Delta Skymiles Platinum Card ( ) - Ending in 1003"/>
  </r>
  <r>
    <d v="2025-05-13T00:00:00"/>
    <s v="Ridepanda"/>
    <n v="-107.79"/>
    <n v="107.79"/>
    <x v="1"/>
    <s v="Credit Card ( ) - Ending in 9734"/>
  </r>
  <r>
    <d v="2025-05-13T00:00:00"/>
    <s v="JFK 14 Café"/>
    <n v="-9.09"/>
    <n v="9.09"/>
    <x v="1"/>
    <s v="Credit Card ( ) - Ending in 9734"/>
  </r>
  <r>
    <d v="2025-05-14T00:00:00"/>
    <s v="Whole Restaurantss Market"/>
    <n v="-59.69"/>
    <n v="59.69"/>
    <x v="3"/>
    <s v="Venture X - Ending in 3426"/>
  </r>
  <r>
    <d v="2025-05-15T00:00:00"/>
    <s v="Target"/>
    <n v="-31.14"/>
    <n v="31.14"/>
    <x v="3"/>
    <s v="Checking Account - Ending in 7017"/>
  </r>
  <r>
    <d v="2025-05-16T00:00:00"/>
    <s v="Trader Joe's"/>
    <n v="-81.16"/>
    <n v="81.16"/>
    <x v="3"/>
    <s v="Venture X - Ending in 3426"/>
  </r>
  <r>
    <d v="2025-05-18T00:00:00"/>
    <s v="Apple"/>
    <n v="-2.99"/>
    <n v="2.99"/>
    <x v="4"/>
    <s v="Credit Card - Ending in 7288"/>
  </r>
  <r>
    <d v="2025-05-20T00:00:00"/>
    <s v="OpenAI Subscription"/>
    <n v="-20"/>
    <n v="20"/>
    <x v="4"/>
    <s v="Credit Card - Ending in 7288"/>
  </r>
  <r>
    <d v="2025-05-20T00:00:00"/>
    <s v="Ess-a-bagel"/>
    <n v="-10.23"/>
    <n v="10.23"/>
    <x v="1"/>
    <s v="Credit Card ( ) - Ending in 9734"/>
  </r>
  <r>
    <d v="2025-05-20T00:00:00"/>
    <s v="Grace Street"/>
    <n v="-19.86"/>
    <n v="19.86"/>
    <x v="1"/>
    <s v="Credit Card ( ) - Ending in 9734"/>
  </r>
  <r>
    <d v="2025-05-21T00:00:00"/>
    <s v="Utility Bill"/>
    <n v="-75.849999999999994"/>
    <n v="75.849999999999994"/>
    <x v="5"/>
    <s v="Bilt World Elite Mastercard - Ending in 3895"/>
  </r>
  <r>
    <d v="2025-05-21T00:00:00"/>
    <s v="Apartment Rent"/>
    <n v="-3250"/>
    <n v="3252.49"/>
    <x v="5"/>
    <s v="Bilt World Elite Mastercard - Ending in 3895"/>
  </r>
  <r>
    <d v="2025-05-21T00:00:00"/>
    <s v="Hashi 330 Nyc Inc"/>
    <n v="-1.98"/>
    <n v="1.98"/>
    <x v="0"/>
    <s v="Venture X - Ending in 3426"/>
  </r>
  <r>
    <d v="2025-05-23T00:00:00"/>
    <s v="Delta Air Lines"/>
    <n v="-5.6"/>
    <n v="5.6"/>
    <x v="2"/>
    <s v="Delta Skymiles Platinum Card ( ) - Ending in 1003"/>
  </r>
  <r>
    <d v="2025-05-23T00:00:00"/>
    <s v="Amazon - Ice Cube Tray"/>
    <n v="-10.88"/>
    <n v="10.88"/>
    <x v="0"/>
    <s v="Credit Card - Ending in 7288"/>
  </r>
  <r>
    <d v="2025-05-24T00:00:00"/>
    <s v="Wawa"/>
    <n v="-14.07"/>
    <n v="14.07"/>
    <x v="3"/>
    <s v="Venture X - Ending in 3426"/>
  </r>
  <r>
    <d v="2025-05-25T00:00:00"/>
    <s v="Chipotle Mexican Grill"/>
    <n v="-13.23"/>
    <n v="13.23"/>
    <x v="1"/>
    <s v="Bilt World Elite Mastercard - Ending in 3895"/>
  </r>
  <r>
    <d v="2025-05-26T00:00:00"/>
    <s v="Spectrum"/>
    <n v="-30"/>
    <n v="30"/>
    <x v="5"/>
    <s v="Venture X - Ending in 3426"/>
  </r>
  <r>
    <d v="2025-05-28T00:00:00"/>
    <s v="Apple"/>
    <n v="-3.99"/>
    <n v="3.99"/>
    <x v="0"/>
    <s v="Credit Card - Ending in 7288"/>
  </r>
  <r>
    <d v="2025-05-28T00:00:00"/>
    <s v="Whole Restaurantss Market"/>
    <n v="-10.76"/>
    <n v="10.76"/>
    <x v="3"/>
    <s v="Venture X - Ending in 3426"/>
  </r>
  <r>
    <d v="2025-05-29T00:00:00"/>
    <s v="H Mart"/>
    <n v="-22.96"/>
    <n v="22.96"/>
    <x v="3"/>
    <s v="Venture X - Ending in 3426"/>
  </r>
  <r>
    <d v="2025-05-31T00:00:00"/>
    <s v="Trader Joe's"/>
    <n v="-29.68"/>
    <n v="29.68"/>
    <x v="3"/>
    <s v="Venture X - Ending in 342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d v="2025-04-01T00:00:00"/>
    <s v="Lyft"/>
    <n v="-37.81"/>
    <n v="37.81"/>
    <x v="0"/>
    <s v="Credit Card ( ) - Ending in 9734"/>
  </r>
  <r>
    <d v="2025-04-01T00:00:00"/>
    <s v="Exxonmobil"/>
    <n v="-5.21"/>
    <n v="5.21"/>
    <x v="1"/>
    <s v="Venture X - Ending in 3426"/>
  </r>
  <r>
    <d v="2025-04-01T00:00:00"/>
    <s v="Wawa"/>
    <n v="-9.69"/>
    <n v="9.69"/>
    <x v="2"/>
    <s v="Credit Card ( ) - Ending in 9734"/>
  </r>
  <r>
    <d v="2025-04-01T00:00:00"/>
    <s v="Amazon"/>
    <n v="-8.09"/>
    <n v="8.09"/>
    <x v="3"/>
    <s v="Credit Card - Ending in 7288"/>
  </r>
  <r>
    <d v="2025-04-02T00:00:00"/>
    <s v="Wawa"/>
    <n v="-5.82"/>
    <n v="5.82"/>
    <x v="2"/>
    <s v="Venture X - Ending in 3426"/>
  </r>
  <r>
    <d v="2025-04-02T00:00:00"/>
    <s v="Amazon Nyc Cafe"/>
    <n v="-2.4500000000000002"/>
    <n v="2.4500000000000002"/>
    <x v="4"/>
    <s v="Venture X - Ending in 3426"/>
  </r>
  <r>
    <d v="2025-04-03T00:00:00"/>
    <s v="Taco Bell"/>
    <n v="-7.41"/>
    <n v="7.41"/>
    <x v="4"/>
    <s v="Credit Card ( ) - Ending in 9734"/>
  </r>
  <r>
    <d v="2025-04-03T00:00:00"/>
    <s v="Amazon Marketplace"/>
    <n v="-15.09"/>
    <n v="15.09"/>
    <x v="3"/>
    <s v="Credit Card - Ending in 7288"/>
  </r>
  <r>
    <d v="2025-04-03T00:00:00"/>
    <s v="Wawa"/>
    <n v="-7.3"/>
    <n v="12.75"/>
    <x v="2"/>
    <s v="Credit Card ( ) - Ending in 9734"/>
  </r>
  <r>
    <d v="2025-04-04T00:00:00"/>
    <s v="Amazon Marketplace"/>
    <n v="-53.54"/>
    <n v="53.54"/>
    <x v="3"/>
    <s v="Credit Card - Ending in 7288"/>
  </r>
  <r>
    <d v="2025-04-04T00:00:00"/>
    <s v="Sq *juby's Smoothies"/>
    <n v="-12.52"/>
    <n v="12.52"/>
    <x v="4"/>
    <s v="Credit Card ( ) - Ending in 9734"/>
  </r>
  <r>
    <d v="2025-04-04T00:00:00"/>
    <s v="Wawa"/>
    <n v="-14.99"/>
    <n v="14.99"/>
    <x v="2"/>
    <s v="Credit Card ( ) - Ending in 9734"/>
  </r>
  <r>
    <d v="2025-04-04T00:00:00"/>
    <s v="Ace Hardware"/>
    <n v="-34.97"/>
    <n v="34.97"/>
    <x v="3"/>
    <s v="Venture X - Ending in 3426"/>
  </r>
  <r>
    <d v="2025-04-05T00:00:00"/>
    <s v="Amazon Marketplace"/>
    <n v="-10.76"/>
    <n v="10.76"/>
    <x v="3"/>
    <s v="Credit Card - Ending in 7288"/>
  </r>
  <r>
    <d v="2025-04-05T00:00:00"/>
    <s v="Amazon Marketplace"/>
    <n v="-29.08"/>
    <n v="29.08"/>
    <x v="3"/>
    <s v="Credit Card - Ending in 7288"/>
  </r>
  <r>
    <d v="2025-04-05T00:00:00"/>
    <s v="Amazon Marketplace"/>
    <n v="-43.63"/>
    <n v="43.63"/>
    <x v="3"/>
    <s v="Credit Card - Ending in 7288"/>
  </r>
  <r>
    <d v="2025-04-05T00:00:00"/>
    <s v="Amazon"/>
    <n v="-50.15"/>
    <n v="50.15"/>
    <x v="3"/>
    <s v="Credit Card - Ending in 7288"/>
  </r>
  <r>
    <d v="2025-04-05T00:00:00"/>
    <s v="Exxonmobil"/>
    <n v="-8.15"/>
    <n v="8.15"/>
    <x v="1"/>
    <s v="Venture X - Ending in 3426"/>
  </r>
  <r>
    <d v="2025-04-05T00:00:00"/>
    <s v="Wawa"/>
    <n v="-5.3"/>
    <n v="5.3"/>
    <x v="2"/>
    <s v="Venture X - Ending in 3426"/>
  </r>
  <r>
    <d v="2025-04-06T00:00:00"/>
    <s v="Taco Bell"/>
    <n v="-16.77"/>
    <n v="16.77"/>
    <x v="4"/>
    <s v="Credit Card ( ) - Ending in 9734"/>
  </r>
  <r>
    <d v="2025-04-06T00:00:00"/>
    <s v="Chipotle Mexican Grill"/>
    <n v="-12.96"/>
    <n v="12.96"/>
    <x v="4"/>
    <s v="Credit Card ( ) - Ending in 9734"/>
  </r>
  <r>
    <d v="2025-04-06T00:00:00"/>
    <s v="Wawa"/>
    <n v="-12.86"/>
    <n v="12.86"/>
    <x v="2"/>
    <s v="Credit Card ( ) - Ending in 9734"/>
  </r>
  <r>
    <d v="2025-04-06T00:00:00"/>
    <s v="Chipotle Mexican Grill"/>
    <n v="-13.28"/>
    <n v="13.28"/>
    <x v="4"/>
    <s v="Credit Card ( ) - Ending in 9734"/>
  </r>
  <r>
    <d v="2025-04-07T00:00:00"/>
    <s v="La Vera Pizza"/>
    <n v="-8.42"/>
    <n v="8.42"/>
    <x v="4"/>
    <s v="Credit Card ( ) - Ending in 9734"/>
  </r>
  <r>
    <d v="2025-04-08T00:00:00"/>
    <s v="Uber Eats"/>
    <n v="-13.23"/>
    <n v="13.23"/>
    <x v="4"/>
    <s v="Delta Skymiles Platinum Card ( ) - Ending in 1003"/>
  </r>
  <r>
    <d v="2025-04-08T00:00:00"/>
    <s v="Cot*flt"/>
    <n v="-45.18"/>
    <n v="45.18"/>
    <x v="1"/>
    <s v="Venture X - Ending in 3426"/>
  </r>
  <r>
    <d v="2025-04-09T00:00:00"/>
    <s v="Ozen Sushi Asian Fusion"/>
    <n v="-16.75"/>
    <n v="16.75"/>
    <x v="4"/>
    <s v="Venture X - Ending in 3426"/>
  </r>
  <r>
    <d v="2025-04-10T00:00:00"/>
    <s v="Amazon"/>
    <n v="29.08"/>
    <n v="-29.08"/>
    <x v="3"/>
    <s v="Credit Card - Ending in 7288"/>
  </r>
  <r>
    <d v="2025-04-10T00:00:00"/>
    <s v="Amazon"/>
    <n v="-58.72"/>
    <n v="58.72"/>
    <x v="3"/>
    <s v="Credit Card - Ending in 7288"/>
  </r>
  <r>
    <d v="2025-04-10T00:00:00"/>
    <s v="Amazon Marketplace"/>
    <n v="-47.36"/>
    <n v="47.36"/>
    <x v="3"/>
    <s v="Credit Card - Ending in 7288"/>
  </r>
  <r>
    <d v="2025-04-12T00:00:00"/>
    <s v="Wawa"/>
    <n v="-2.4900000000000002"/>
    <n v="2.4900000000000002"/>
    <x v="2"/>
    <s v="Venture X - Ending in 3426"/>
  </r>
  <r>
    <d v="2025-04-14T00:00:00"/>
    <s v="Uber"/>
    <n v="-9.99"/>
    <n v="9.99"/>
    <x v="0"/>
    <s v="Credit Card ( ) - Ending in 9734"/>
  </r>
  <r>
    <d v="2025-04-14T00:00:00"/>
    <s v="Broadway Bagel"/>
    <n v="-9.1999999999999993"/>
    <n v="9.1999999999999993"/>
    <x v="4"/>
    <s v="Credit Card ( ) - Ending in 9734"/>
  </r>
  <r>
    <d v="2025-04-14T00:00:00"/>
    <s v="Pizza Art"/>
    <n v="-3.39"/>
    <n v="3.39"/>
    <x v="4"/>
    <s v="Credit Card ( ) - Ending in 9734"/>
  </r>
  <r>
    <d v="2025-04-15T00:00:00"/>
    <s v="Taco Bell"/>
    <n v="-17.88"/>
    <n v="17.88"/>
    <x v="4"/>
    <s v="Credit Card ( ) - Ending in 9734"/>
  </r>
  <r>
    <d v="2025-04-15T00:00:00"/>
    <s v="Wawa"/>
    <n v="-7.79"/>
    <n v="7.79"/>
    <x v="2"/>
    <s v="Credit Card ( ) - Ending in 9734"/>
  </r>
  <r>
    <d v="2025-04-15T00:00:00"/>
    <s v="Davidovich Bakery"/>
    <n v="-3.81"/>
    <n v="3.81"/>
    <x v="4"/>
    <s v="Credit Card ( ) - Ending in 9734"/>
  </r>
  <r>
    <d v="2025-04-16T00:00:00"/>
    <s v="Amazon"/>
    <n v="-15.34"/>
    <n v="15.34"/>
    <x v="3"/>
    <s v="Credit Card - Ending in 7288"/>
  </r>
  <r>
    <d v="2025-04-16T00:00:00"/>
    <s v="Uber"/>
    <n v="-25.13"/>
    <n v="15.129999999999999"/>
    <x v="0"/>
    <s v="Delta Skymiles Platinum Card ( ) - Ending in 1003"/>
  </r>
  <r>
    <d v="2025-04-16T00:00:00"/>
    <s v="Banana Republic"/>
    <n v="-79.2"/>
    <n v="79.2"/>
    <x v="3"/>
    <s v="Venture X - Ending in 3426"/>
  </r>
  <r>
    <d v="2025-04-16T00:00:00"/>
    <s v="Barnes &amp; Noble"/>
    <n v="-22.85"/>
    <n v="22.85"/>
    <x v="3"/>
    <s v="Venture X - Ending in 3426"/>
  </r>
  <r>
    <d v="2025-04-17T00:00:00"/>
    <s v="Google Cloud Storage"/>
    <n v="-1.99"/>
    <n v="1.99"/>
    <x v="1"/>
    <s v="Credit Card ( ) - Ending in 9734"/>
  </r>
  <r>
    <d v="2025-04-17T00:00:00"/>
    <s v="Wawa"/>
    <n v="-7.1"/>
    <n v="7.1"/>
    <x v="2"/>
    <s v="Credit Card ( ) - Ending in 9734"/>
  </r>
  <r>
    <d v="2025-04-17T00:00:00"/>
    <s v="Wawa"/>
    <n v="-11.98"/>
    <n v="11.98"/>
    <x v="2"/>
    <s v="Credit Card ( ) - Ending in 9734"/>
  </r>
  <r>
    <d v="2025-04-17T00:00:00"/>
    <s v="Ace Hardware"/>
    <n v="-27.55"/>
    <n v="27.55"/>
    <x v="3"/>
    <s v="Venture X - Ending in 3426"/>
  </r>
  <r>
    <d v="2025-04-17T00:00:00"/>
    <s v="Help.max.com"/>
    <n v="-2.99"/>
    <n v="2.99"/>
    <x v="5"/>
    <s v="Venture X - Ending in 3426"/>
  </r>
  <r>
    <d v="2025-04-18T00:00:00"/>
    <s v="Taco Bell"/>
    <n v="-8.4600000000000009"/>
    <n v="8.4600000000000009"/>
    <x v="4"/>
    <s v="Credit Card ( ) - Ending in 9734"/>
  </r>
  <r>
    <d v="2025-04-18T00:00:00"/>
    <s v="Wawa"/>
    <n v="-8.8699999999999992"/>
    <n v="8.8699999999999992"/>
    <x v="2"/>
    <s v="Credit Card ( ) - Ending in 9734"/>
  </r>
  <r>
    <d v="2025-04-18T00:00:00"/>
    <s v="Taco Bell"/>
    <n v="-61.67"/>
    <n v="61.67"/>
    <x v="4"/>
    <s v="Credit Card ( ) - Ending in 9734"/>
  </r>
  <r>
    <d v="2025-04-18T00:00:00"/>
    <s v="Apple"/>
    <n v="-2.99"/>
    <n v="2.99"/>
    <x v="1"/>
    <s v="Credit Card - Ending in 7288"/>
  </r>
  <r>
    <d v="2025-04-21T00:00:00"/>
    <s v="Taco Bell"/>
    <n v="-4.01"/>
    <n v="4.01"/>
    <x v="4"/>
    <s v="Credit Card ( ) - Ending in 9734"/>
  </r>
  <r>
    <d v="2025-04-22T00:00:00"/>
    <s v="Sq *the Morning Brew Coff"/>
    <n v="-18.579999999999998"/>
    <n v="18.579999999999998"/>
    <x v="4"/>
    <s v="Credit Card ( ) - Ending in 9734"/>
  </r>
  <r>
    <d v="2025-04-24T00:00:00"/>
    <s v="Taco Bell"/>
    <n v="-9.51"/>
    <n v="9.51"/>
    <x v="4"/>
    <s v="Credit Card ( ) - Ending in 9734"/>
  </r>
  <r>
    <d v="2025-04-25T00:00:00"/>
    <s v="Sq *the Morning Brew Coff"/>
    <n v="-30.63"/>
    <n v="30.63"/>
    <x v="4"/>
    <s v="Credit Card ( ) - Ending in 9734"/>
  </r>
  <r>
    <d v="2025-04-26T00:00:00"/>
    <s v="Wawa"/>
    <n v="-2.96"/>
    <n v="2.96"/>
    <x v="2"/>
    <s v="Credit Card ( ) - Ending in 9734"/>
  </r>
  <r>
    <d v="2025-04-27T00:00:00"/>
    <s v="Ess-a-bagel, Inc."/>
    <n v="-8.84"/>
    <n v="8.84"/>
    <x v="4"/>
    <s v="Credit Card ( ) - Ending in 9734"/>
  </r>
  <r>
    <d v="2025-04-27T00:00:00"/>
    <s v="Starbucks"/>
    <n v="-26.52"/>
    <n v="26.52"/>
    <x v="4"/>
    <s v="Credit Card ( ) - Ending in 9734"/>
  </r>
  <r>
    <d v="2025-04-28T00:00:00"/>
    <s v="Taco Bell"/>
    <n v="-12.76"/>
    <n v="12.76"/>
    <x v="4"/>
    <s v="Credit Card ( ) - Ending in 9734"/>
  </r>
  <r>
    <d v="2025-04-28T00:00:00"/>
    <s v="Wawa"/>
    <n v="-5.98"/>
    <n v="5.98"/>
    <x v="2"/>
    <s v="Venture X - Ending in 3426"/>
  </r>
  <r>
    <d v="2025-04-30T00:00:00"/>
    <s v="Amazon Marketplace"/>
    <n v="-14.92"/>
    <n v="14.92"/>
    <x v="3"/>
    <s v="Credit Card - Ending in 7288"/>
  </r>
  <r>
    <d v="2025-04-30T00:00:00"/>
    <s v="Radisson Hotels"/>
    <n v="-2.2000000000000002"/>
    <n v="2.2000000000000002"/>
    <x v="0"/>
    <s v="Venture X - Ending in 342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d v="2025-06-01T00:00:00"/>
    <s v="CSP Annual Fee"/>
    <m/>
    <n v="95"/>
    <x v="0"/>
    <s v="CSP"/>
  </r>
  <r>
    <d v="2025-06-01T00:00:00"/>
    <s v="Disney Plus"/>
    <n v="-10.99"/>
    <n v="10.99"/>
    <x v="1"/>
    <s v="Credit Card - Ending in 7288"/>
  </r>
  <r>
    <d v="2025-06-02T00:00:00"/>
    <s v="Chipotle Mexican Grill"/>
    <n v="-12.68"/>
    <n v="12.68"/>
    <x v="2"/>
    <s v="Bilt World Elite Mastercard - Ending in 3895"/>
  </r>
  <r>
    <d v="2025-06-02T00:00:00"/>
    <s v="VENMO"/>
    <n v="-1.99"/>
    <n v="1.99"/>
    <x v="0"/>
    <s v="Venture X - Ending in 3426"/>
  </r>
  <r>
    <d v="2025-06-02T00:00:00"/>
    <s v="Wawa"/>
    <n v="-4.49"/>
    <n v="4.49"/>
    <x v="3"/>
    <s v="Venture X - Ending in 3426"/>
  </r>
  <r>
    <d v="2025-06-04T00:00:00"/>
    <s v="Trader Joes"/>
    <m/>
    <n v="2.69"/>
    <x v="3"/>
    <s v="Venture X - Ending in 3426"/>
  </r>
  <r>
    <d v="2025-06-05T00:00:00"/>
    <s v="Joe Juice + Little Italty"/>
    <m/>
    <n v="17.27"/>
    <x v="2"/>
    <s v="CSP"/>
  </r>
  <r>
    <d v="2025-06-06T00:00:00"/>
    <s v="Morning Brew"/>
    <n v="-29.53"/>
    <n v="29.53"/>
    <x v="2"/>
    <s v="Credit Card - Ending in 7288"/>
  </r>
  <r>
    <d v="2025-06-07T00:00:00"/>
    <s v="Made in New York Pizza"/>
    <m/>
    <n v="10.19"/>
    <x v="2"/>
    <s v="CSP"/>
  </r>
  <r>
    <d v="2025-06-07T00:00:00"/>
    <s v="Apple"/>
    <n v="-9.99"/>
    <n v="9.99"/>
    <x v="0"/>
    <s v="Credit Card - Ending in 7288"/>
  </r>
  <r>
    <d v="2025-06-07T00:00:00"/>
    <s v="Wawa"/>
    <m/>
    <n v="11.2"/>
    <x v="3"/>
    <s v="Venture X - Ending in 3426"/>
  </r>
  <r>
    <d v="2025-06-09T00:00:00"/>
    <s v="Potbelly Sandwich Shop"/>
    <m/>
    <n v="12.29"/>
    <x v="2"/>
    <s v="CSP"/>
  </r>
  <r>
    <d v="2025-06-09T00:00:00"/>
    <s v="VENMO"/>
    <m/>
    <n v="5"/>
    <x v="0"/>
    <s v="Venture X - Ending in 3426"/>
  </r>
  <r>
    <d v="2025-06-09T00:00:00"/>
    <s v="VENMO"/>
    <m/>
    <n v="10"/>
    <x v="0"/>
    <s v="Venture X - Ending in 3426"/>
  </r>
  <r>
    <d v="2025-06-10T00:00:00"/>
    <s v="Insomnia Cookies"/>
    <m/>
    <n v="13.86"/>
    <x v="2"/>
    <s v="CSP"/>
  </r>
  <r>
    <d v="2025-06-10T00:00:00"/>
    <s v="Uniqlo"/>
    <m/>
    <n v="50"/>
    <x v="4"/>
    <s v="Venture X - Ending in 3426"/>
  </r>
  <r>
    <d v="2025-06-10T00:00:00"/>
    <s v="Amazon"/>
    <n v="-6.09"/>
    <n v="6.09"/>
    <x v="4"/>
    <s v="Credit Card - Ending in 7288"/>
  </r>
  <r>
    <d v="2025-06-10T00:00:00"/>
    <s v="Daniels Barbershop"/>
    <m/>
    <n v="35.700000000000003"/>
    <x v="0"/>
    <s v="Venture X - Ending in 3426"/>
  </r>
  <r>
    <d v="2025-06-12T00:00:00"/>
    <s v="JFK Café"/>
    <m/>
    <n v="16.82"/>
    <x v="2"/>
    <s v="CSP"/>
  </r>
  <r>
    <d v="2025-06-14T00:00:00"/>
    <s v="Thai Specialty"/>
    <m/>
    <n v="16.666666666666668"/>
    <x v="2"/>
    <s v="CSP"/>
  </r>
  <r>
    <d v="2025-06-14T00:00:00"/>
    <s v="Stella Jean's Ice Cream"/>
    <m/>
    <n v="19.399999999999999"/>
    <x v="2"/>
    <s v="CSP"/>
  </r>
  <r>
    <d v="2025-06-16T00:00:00"/>
    <s v="Valero"/>
    <m/>
    <n v="8.02"/>
    <x v="0"/>
    <s v="Venture X - Ending in 3426"/>
  </r>
  <r>
    <d v="2025-06-18T00:00:00"/>
    <s v="Apple"/>
    <n v="-2.99"/>
    <n v="2.99"/>
    <x v="0"/>
    <s v="Credit Card - Ending in 7288"/>
  </r>
  <r>
    <d v="2025-06-20T00:00:00"/>
    <s v="Utility Bill"/>
    <n v="-83.06"/>
    <n v="83.06"/>
    <x v="5"/>
    <s v="Bilt World Elite Mastercard - Ending in 3895"/>
  </r>
  <r>
    <d v="2025-06-20T00:00:00"/>
    <s v="Chatgpt"/>
    <n v="-20"/>
    <n v="20"/>
    <x v="0"/>
    <s v="Credit Card - Ending in 7288"/>
  </r>
  <r>
    <d v="2025-06-20T00:00:00"/>
    <s v="Zazzle (Akash Birthday Gift)"/>
    <n v="-24.44"/>
    <n v="8.1466666666666665"/>
    <x v="0"/>
    <s v="Credit Card - Ending in 7288"/>
  </r>
  <r>
    <d v="2025-06-26T00:00:00"/>
    <s v="Bagels and Co"/>
    <m/>
    <n v="11.55"/>
    <x v="2"/>
    <s v="CSP"/>
  </r>
  <r>
    <d v="2025-06-26T00:00:00"/>
    <s v="Spectrum Bill"/>
    <m/>
    <n v="30"/>
    <x v="0"/>
    <s v="Venture X - Ending in 3426"/>
  </r>
  <r>
    <d v="2025-06-28T00:00:00"/>
    <s v="Apple"/>
    <n v="-3.99"/>
    <n v="3.99"/>
    <x v="0"/>
    <s v="Credit Card - Ending in 7288"/>
  </r>
  <r>
    <d v="2025-06-28T00:00:00"/>
    <s v="VENMO"/>
    <m/>
    <n v="10"/>
    <x v="0"/>
    <s v="Venture X - Ending in 3426"/>
  </r>
  <r>
    <d v="2025-06-28T00:00:00"/>
    <s v="Wawa"/>
    <n v="-4.49"/>
    <n v="4.49"/>
    <x v="3"/>
    <s v="Bilt World Elite Mastercard - Ending in 3895"/>
  </r>
  <r>
    <d v="2025-06-30T00:00:00"/>
    <s v="Han Dynasty"/>
    <m/>
    <n v="30.78"/>
    <x v="2"/>
    <s v="CSP"/>
  </r>
  <r>
    <d v="2025-06-30T00:00:00"/>
    <s v="Xing Fu"/>
    <m/>
    <n v="9.25"/>
    <x v="2"/>
    <s v="CSP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d v="2025-07-01T00:00:00"/>
    <s v="Disney Plus"/>
    <n v="-10.99"/>
    <n v="10.99"/>
    <x v="0"/>
    <s v="Credit Card - Ending in 7288"/>
  </r>
  <r>
    <d v="2025-07-02T00:00:00"/>
    <s v="Cvs Pharmacy"/>
    <n v="-18.28"/>
    <n v="18.28"/>
    <x v="1"/>
    <s v="Venture X - Ending in 3426"/>
  </r>
  <r>
    <d v="2025-07-02T00:00:00"/>
    <s v="Comewelcom"/>
    <n v="-1.99"/>
    <n v="1.99"/>
    <x v="2"/>
    <s v="Venture X - Ending in 3426"/>
  </r>
  <r>
    <d v="2025-07-03T00:00:00"/>
    <s v="Wawa"/>
    <n v="-6.04"/>
    <n v="6.04"/>
    <x v="1"/>
    <s v="Credit Card ( ) - Ending in 3240"/>
  </r>
  <r>
    <d v="2025-07-03T00:00:00"/>
    <s v="Sq *the Morning Brew Coff"/>
    <n v="-34.159999999999997"/>
    <n v="34.159999999999997"/>
    <x v="3"/>
    <s v="Credit Card ( ) - Ending in 3240"/>
  </r>
  <r>
    <d v="2025-07-04T00:00:00"/>
    <s v="Wawa"/>
    <n v="-7.27"/>
    <n v="7.27"/>
    <x v="1"/>
    <s v="Venture X - Ending in 3426"/>
  </r>
  <r>
    <d v="2025-07-04T00:00:00"/>
    <s v="Trader Joe's"/>
    <n v="-38.840000000000003"/>
    <n v="38.840000000000003"/>
    <x v="1"/>
    <s v="Venture X - Ending in 3426"/>
  </r>
  <r>
    <d v="2025-07-04T00:00:00"/>
    <s v="La Vera Pizza"/>
    <n v="-3.35"/>
    <n v="3.35"/>
    <x v="3"/>
    <s v="Credit Card ( ) - Ending in 3240"/>
  </r>
  <r>
    <d v="2025-07-07T00:00:00"/>
    <s v="Trader Joe's"/>
    <n v="-23.42"/>
    <n v="23.42"/>
    <x v="1"/>
    <s v="Venture X - Ending in 3426"/>
  </r>
  <r>
    <d v="2025-07-07T00:00:00"/>
    <s v="Charles Tyrwhitt"/>
    <n v="-78.95"/>
    <n v="78.95"/>
    <x v="4"/>
    <s v="Venture X - Ending in 3426"/>
  </r>
  <r>
    <d v="2025-07-07T00:00:00"/>
    <s v="Apple"/>
    <n v="-9.99"/>
    <n v="9.99"/>
    <x v="0"/>
    <s v="Credit Card - Ending in 7288"/>
  </r>
  <r>
    <d v="2025-07-07T00:00:00"/>
    <s v="Target"/>
    <n v="-24.94"/>
    <n v="24.94"/>
    <x v="1"/>
    <s v="Checking Account - Ending in 7017"/>
  </r>
  <r>
    <d v="2025-07-08T00:00:00"/>
    <s v="Comewelcom"/>
    <n v="-4.25"/>
    <n v="4.25"/>
    <x v="2"/>
    <s v="Venture X - Ending in 3426"/>
  </r>
  <r>
    <d v="2025-07-08T00:00:00"/>
    <s v="Comewelcom"/>
    <n v="-5"/>
    <n v="5"/>
    <x v="2"/>
    <s v="Venture X - Ending in 3426"/>
  </r>
  <r>
    <d v="2025-07-08T00:00:00"/>
    <s v="Amazon (Toothbrush)"/>
    <n v="-76.16"/>
    <n v="76.16"/>
    <x v="4"/>
    <s v="Credit Card - Ending in 7288"/>
  </r>
  <r>
    <d v="2025-07-08T00:00:00"/>
    <s v="Amazon (AC)"/>
    <n v="-162.22"/>
    <n v="162.22"/>
    <x v="4"/>
    <s v="Credit Card - Ending in 7288"/>
  </r>
  <r>
    <d v="2025-07-09T00:00:00"/>
    <s v="Trader Joe's"/>
    <n v="-30.91"/>
    <n v="30.91"/>
    <x v="1"/>
    <s v="Venture X - Ending in 3426"/>
  </r>
  <r>
    <d v="2025-07-10T00:00:00"/>
    <s v="Nike"/>
    <n v="-234.77"/>
    <n v="117.38500000000001"/>
    <x v="4"/>
    <s v="Credit Card - Ending in 7288"/>
  </r>
  <r>
    <d v="2025-07-10T00:00:00"/>
    <s v="Tompkins Square Bagels"/>
    <n v="-11.87"/>
    <n v="11.87"/>
    <x v="3"/>
    <s v="Bilt World Elite Mastercard - Ending in 3895"/>
  </r>
  <r>
    <d v="2025-07-12T00:00:00"/>
    <s v="Made In New York"/>
    <n v="-4.53"/>
    <n v="4.53"/>
    <x v="3"/>
    <s v="Credit Card ( ) - Ending in 3240"/>
  </r>
  <r>
    <d v="2025-07-13T00:00:00"/>
    <s v="Payrange"/>
    <n v="-10"/>
    <n v="10"/>
    <x v="5"/>
    <s v="Bilt World Elite Mastercard - Ending in 3895"/>
  </r>
  <r>
    <d v="2025-07-13T00:00:00"/>
    <s v="H&amp;h Bagels"/>
    <n v="-6.21"/>
    <n v="11.21"/>
    <x v="3"/>
    <s v="Credit Card ( ) - Ending in 3240"/>
  </r>
  <r>
    <d v="2025-07-14T00:00:00"/>
    <s v="Canteen Vending Services"/>
    <n v="-1.25"/>
    <n v="1.25"/>
    <x v="1"/>
    <s v="Bilt World Elite Mastercard - Ending in 3895"/>
  </r>
  <r>
    <d v="2025-07-14T00:00:00"/>
    <s v="Sq *biryani Cart"/>
    <n v="-8.7100000000000009"/>
    <n v="8.7100000000000009"/>
    <x v="3"/>
    <s v="Credit Card ( ) - Ending in 3240"/>
  </r>
  <r>
    <d v="2025-07-15T00:00:00"/>
    <s v="Amazon Services"/>
    <n v="76.2"/>
    <n v="-76.2"/>
    <x v="4"/>
    <s v="Checking Account - Ending in 7017"/>
  </r>
  <r>
    <d v="2025-07-15T00:00:00"/>
    <s v="Amazon Marketplace"/>
    <n v="-105.86"/>
    <n v="105.86"/>
    <x v="4"/>
    <s v="Credit Card - Ending in 7288"/>
  </r>
  <r>
    <d v="2025-07-15T00:00:00"/>
    <s v="Whole Foods Market"/>
    <n v="-11.17"/>
    <n v="11.17"/>
    <x v="1"/>
    <s v="Venture X - Ending in 3426"/>
  </r>
  <r>
    <d v="2025-07-15T00:00:00"/>
    <s v="Just Salad"/>
    <n v="-15.74"/>
    <n v="15.74"/>
    <x v="3"/>
    <s v="Credit Card ( ) - Ending in 3240"/>
  </r>
  <r>
    <d v="2025-07-16T00:00:00"/>
    <s v="Tst*artichoke Basilles New York Ny"/>
    <n v="-7.8"/>
    <n v="7.8"/>
    <x v="3"/>
    <s v="Bilt World Elite Mastercard - Ending in 3895"/>
  </r>
  <r>
    <d v="2025-07-16T00:00:00"/>
    <s v="Target"/>
    <n v="-15.2"/>
    <n v="15.2"/>
    <x v="1"/>
    <s v="Checking Account - Ending in 7017"/>
  </r>
  <r>
    <d v="2025-07-16T00:00:00"/>
    <s v="Comewelcom"/>
    <n v="-5"/>
    <n v="5"/>
    <x v="2"/>
    <s v="Venture X - Ending in 3426"/>
  </r>
  <r>
    <d v="2025-07-16T00:00:00"/>
    <s v="Juice Generation"/>
    <n v="-11.92"/>
    <n v="11.92"/>
    <x v="3"/>
    <s v="Credit Card ( ) - Ending in 3240"/>
  </r>
  <r>
    <d v="2025-07-17T00:00:00"/>
    <s v="Bagel To Sandwich"/>
    <n v="-11.85"/>
    <n v="11.85"/>
    <x v="3"/>
    <s v="Credit Card ( ) - Ending in 3240"/>
  </r>
  <r>
    <d v="2025-07-17T00:00:00"/>
    <s v="Google Cloud Storage"/>
    <n v="-1.99"/>
    <n v="1.99"/>
    <x v="0"/>
    <s v="Credit Card ( ) - Ending in 3240"/>
  </r>
  <r>
    <d v="2025-07-18T00:00:00"/>
    <s v="Apple"/>
    <n v="-2.99"/>
    <n v="2.99"/>
    <x v="0"/>
    <s v="Credit Card - Ending in 7288"/>
  </r>
  <r>
    <d v="2025-07-18T00:00:00"/>
    <s v="Tst*zuckers Bagels &amp; Sm"/>
    <n v="-13.72"/>
    <n v="13.72"/>
    <x v="3"/>
    <s v="Credit Card ( ) - Ending in 3240"/>
  </r>
  <r>
    <d v="2025-07-19T00:00:00"/>
    <s v="New Times Square Pizza"/>
    <n v="-1.64"/>
    <n v="1.64"/>
    <x v="3"/>
    <s v="Venture X - Ending in 3426"/>
  </r>
  <r>
    <d v="2025-07-19T00:00:00"/>
    <s v="Til*ss Pizza Shack"/>
    <n v="-54.54"/>
    <n v="10.907999999999999"/>
    <x v="3"/>
    <s v="Credit Card ( ) - Ending in 3240"/>
  </r>
  <r>
    <d v="2025-07-20T00:00:00"/>
    <s v="Nekter Juice Bar"/>
    <n v="-11.39"/>
    <n v="11.39"/>
    <x v="3"/>
    <s v="Credit Card ( ) - Ending in 3240"/>
  </r>
  <r>
    <d v="2025-07-21T00:00:00"/>
    <s v="Bps*bilt Rent New York Ny"/>
    <n v="-3250"/>
    <n v="3250"/>
    <x v="5"/>
    <s v="Bilt World Elite Mastercard - Ending in 3895"/>
  </r>
  <r>
    <d v="2025-07-21T00:00:00"/>
    <s v="Chatgpt"/>
    <n v="-20"/>
    <n v="20"/>
    <x v="0"/>
    <s v="Credit Card - Ending in 7288"/>
  </r>
  <r>
    <d v="2025-07-21T00:00:00"/>
    <s v="Microsoft"/>
    <n v="-1.99"/>
    <n v="1.99"/>
    <x v="0"/>
    <s v="Credit Card ( ) - Ending in 3240"/>
  </r>
  <r>
    <d v="2025-07-22T00:00:00"/>
    <s v="Bps*bilt Rent New York Ny"/>
    <n v="-2.4900000000000002"/>
    <n v="2.4900000000000002"/>
    <x v="5"/>
    <s v="Bilt World Elite Mastercard - Ending in 3895"/>
  </r>
  <r>
    <d v="2025-07-23T00:00:00"/>
    <s v="Bps*bilt Rent New York Ny"/>
    <n v="-78.13"/>
    <n v="78.13"/>
    <x v="5"/>
    <s v="Bilt World Elite Mastercard - Ending in 3895"/>
  </r>
  <r>
    <d v="2025-07-24T00:00:00"/>
    <s v="Fabletics"/>
    <n v="-34.950000000000003"/>
    <n v="34.950000000000003"/>
    <x v="4"/>
    <s v="Credit Card - Ending in 7288"/>
  </r>
  <r>
    <d v="2025-07-24T00:00:00"/>
    <s v="Tal Bagels"/>
    <n v="-11.26"/>
    <n v="11.26"/>
    <x v="3"/>
    <s v="Credit Card ( ) - Ending in 3240"/>
  </r>
  <r>
    <d v="2025-07-24T00:00:00"/>
    <s v="Tst*artichoke Basilles"/>
    <n v="-7.8"/>
    <n v="7.8"/>
    <x v="3"/>
    <s v="Credit Card ( ) - Ending in 3240"/>
  </r>
  <r>
    <d v="2025-07-25T00:00:00"/>
    <s v="Sprouts Farmers Market"/>
    <n v="-13.62"/>
    <n v="13.62"/>
    <x v="1"/>
    <s v="Venture X - Ending in 3426"/>
  </r>
  <r>
    <d v="2025-07-25T00:00:00"/>
    <s v="Taco Bell"/>
    <n v="-14.82"/>
    <n v="7.41"/>
    <x v="3"/>
    <s v="Credit Card ( ) - Ending in 3240"/>
  </r>
  <r>
    <d v="2025-07-25T00:00:00"/>
    <s v="Wawa"/>
    <n v="-2.64"/>
    <n v="2.64"/>
    <x v="1"/>
    <s v="Credit Card ( ) - Ending in 3240"/>
  </r>
  <r>
    <d v="2025-07-26T00:00:00"/>
    <s v="Sq *llama Ice Cream"/>
    <n v="-4.7699999999999996"/>
    <n v="4.7699999999999996"/>
    <x v="3"/>
    <s v="Venture X - Ending in 3426"/>
  </r>
  <r>
    <d v="2025-07-26T00:00:00"/>
    <s v="Mignosi's Super Foo"/>
    <n v="-4.8600000000000003"/>
    <n v="4.8600000000000003"/>
    <x v="1"/>
    <s v="Venture X - Ending in 3426"/>
  </r>
  <r>
    <d v="2025-07-26T00:00:00"/>
    <s v="Spectrum"/>
    <n v="-30"/>
    <n v="30"/>
    <x v="5"/>
    <s v="Venture X - Ending in 3426"/>
  </r>
  <r>
    <d v="2025-07-27T00:00:00"/>
    <s v="Taco Bell"/>
    <n v="-22.23"/>
    <n v="11.115"/>
    <x v="3"/>
    <s v="Credit Card ( ) - Ending in 3240"/>
  </r>
  <r>
    <d v="2025-07-28T00:00:00"/>
    <s v="Apple"/>
    <n v="-3.99"/>
    <n v="3.99"/>
    <x v="0"/>
    <s v="Credit Card - Ending in 7288"/>
  </r>
  <r>
    <d v="2025-07-28T00:00:00"/>
    <s v="Target"/>
    <n v="-6.64"/>
    <n v="6.64"/>
    <x v="1"/>
    <s v="Checking Account - Ending in 7017"/>
  </r>
  <r>
    <d v="2025-07-28T00:00:00"/>
    <s v="Tst*all Antico Vinaio 14"/>
    <n v="-15"/>
    <n v="15"/>
    <x v="3"/>
    <s v="Credit Card ( ) - Ending in 3240"/>
  </r>
  <r>
    <d v="2025-07-29T00:00:00"/>
    <s v="Ebay"/>
    <n v="-16.04"/>
    <n v="16.04"/>
    <x v="0"/>
    <s v="Credit Card - Ending in 7288"/>
  </r>
  <r>
    <d v="2025-07-29T00:00:00"/>
    <s v="Comewelcom"/>
    <n v="-5"/>
    <n v="5"/>
    <x v="2"/>
    <s v="Venture X - Ending in 3426"/>
  </r>
  <r>
    <d v="2025-07-29T00:00:00"/>
    <s v="La Pecora Bianca"/>
    <n v="-50.74"/>
    <n v="16.913333333333334"/>
    <x v="3"/>
    <s v="Credit Card ( ) - Ending in 3240"/>
  </r>
  <r>
    <d v="2025-07-29T00:00:00"/>
    <s v="Tst* Kossars West End Ave"/>
    <n v="-11.7"/>
    <n v="11.7"/>
    <x v="3"/>
    <s v="Credit Card ( ) - Ending in 3240"/>
  </r>
  <r>
    <d v="2025-07-30T00:00:00"/>
    <s v="Daniel Barbershop"/>
    <n v="-35.700000000000003"/>
    <n v="35.700000000000003"/>
    <x v="6"/>
    <s v="Venture X - Ending in 3426"/>
  </r>
  <r>
    <d v="2025-07-30T00:00:00"/>
    <s v="Whole Foods Market"/>
    <n v="-78.23"/>
    <n v="78.23"/>
    <x v="1"/>
    <s v="Venture X - Ending in 3426"/>
  </r>
  <r>
    <d v="2025-07-31T00:00:00"/>
    <s v="Payrange"/>
    <n v="-10"/>
    <n v="10"/>
    <x v="5"/>
    <s v="Bilt World Elite Mastercard - Ending in 389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d v="2025-09-01T00:00:00"/>
    <s v="Juice Generation"/>
    <n v="-11.92"/>
    <n v="11.92"/>
    <x v="0"/>
    <s v="Credit Card ( ) - Ending in 3240"/>
  </r>
  <r>
    <d v="2025-09-01T00:00:00"/>
    <s v="Tst*pizza Collective"/>
    <n v="-6.73"/>
    <n v="6.73"/>
    <x v="0"/>
    <s v="Credit Card ( ) - Ending in 3240"/>
  </r>
  <r>
    <d v="2025-09-01T00:00:00"/>
    <s v="Chipotle Mexican Grill"/>
    <n v="-0.54"/>
    <n v="0.54"/>
    <x v="0"/>
    <s v="Bilt World Elite Mastercard - Ending in 3895"/>
  </r>
  <r>
    <d v="2025-09-01T00:00:00"/>
    <s v="Wendy's"/>
    <n v="-3.06"/>
    <n v="3.06"/>
    <x v="0"/>
    <s v="Venture X - Ending in 3426"/>
  </r>
  <r>
    <d v="2025-09-01T00:00:00"/>
    <s v="Food"/>
    <n v="-5.89"/>
    <n v="5.89"/>
    <x v="1"/>
    <s v="Venture X - Ending in 3426"/>
  </r>
  <r>
    <d v="2025-09-01T00:00:00"/>
    <s v="Taco Bell"/>
    <n v="-13.33"/>
    <n v="13.33"/>
    <x v="0"/>
    <s v="Venture X - Ending in 3426"/>
  </r>
  <r>
    <d v="2025-09-02T00:00:00"/>
    <s v="Food"/>
    <n v="-6.04"/>
    <n v="6.04"/>
    <x v="1"/>
    <s v="Bilt World Elite Mastercard - Ending in 3895"/>
  </r>
  <r>
    <d v="2025-09-02T00:00:00"/>
    <s v="Laundry"/>
    <n v="-10"/>
    <n v="10"/>
    <x v="2"/>
    <s v="Bilt World Elite Mastercard - Ending in 3895"/>
  </r>
  <r>
    <d v="2025-09-02T00:00:00"/>
    <s v="VENMO"/>
    <n v="-1.99"/>
    <n v="1.99"/>
    <x v="3"/>
    <s v="Venture X - Ending in 3426"/>
  </r>
  <r>
    <d v="2025-09-02T00:00:00"/>
    <s v="Bagel Talk"/>
    <n v="-11.7"/>
    <n v="11.7"/>
    <x v="0"/>
    <s v="Venture X - Ending in 3426"/>
  </r>
  <r>
    <d v="2025-09-03T00:00:00"/>
    <s v="Ace Hardware"/>
    <n v="-68.56"/>
    <n v="68.56"/>
    <x v="4"/>
    <s v="Venture X - Ending in 3426"/>
  </r>
  <r>
    <d v="2025-09-04T00:00:00"/>
    <s v="Lowe's"/>
    <n v="-171.49"/>
    <n v="171.49"/>
    <x v="4"/>
    <s v="Venture X - Ending in 3426"/>
  </r>
  <r>
    <d v="2025-09-04T00:00:00"/>
    <s v="True Value"/>
    <n v="-19.05"/>
    <n v="19.05"/>
    <x v="3"/>
    <s v="Venture X - Ending in 3426"/>
  </r>
  <r>
    <d v="2025-09-04T00:00:00"/>
    <s v="Lowe's"/>
    <n v="-13.76"/>
    <n v="13.76"/>
    <x v="4"/>
    <s v="Venture X - Ending in 3426"/>
  </r>
  <r>
    <d v="2025-09-05T00:00:00"/>
    <s v="Food"/>
    <n v="-5.08"/>
    <n v="5.08"/>
    <x v="1"/>
    <s v="Venture X - Ending in 3426"/>
  </r>
  <r>
    <d v="2025-09-05T00:00:00"/>
    <s v="Cvs Pharmacy"/>
    <n v="-6.38"/>
    <n v="6.38"/>
    <x v="1"/>
    <s v="Venture X - Ending in 3426"/>
  </r>
  <r>
    <d v="2025-09-05T00:00:00"/>
    <s v="Cvs Pharmacy"/>
    <n v="-16.100000000000001"/>
    <n v="16.100000000000001"/>
    <x v="1"/>
    <s v="Venture X - Ending in 3426"/>
  </r>
  <r>
    <d v="2025-09-05T00:00:00"/>
    <s v="Food"/>
    <n v="-7.52"/>
    <n v="7.52"/>
    <x v="1"/>
    <s v="Venture X - Ending in 3426"/>
  </r>
  <r>
    <d v="2025-09-06T00:00:00"/>
    <s v="Ace Hardware"/>
    <n v="-12.27"/>
    <n v="12.27"/>
    <x v="4"/>
    <s v="Venture X - Ending in 3426"/>
  </r>
  <r>
    <d v="2025-09-06T00:00:00"/>
    <s v="Ace Hardware"/>
    <n v="-13.75"/>
    <n v="13.75"/>
    <x v="4"/>
    <s v="Venture X - Ending in 3426"/>
  </r>
  <r>
    <d v="2025-09-06T00:00:00"/>
    <s v="Ace Hardware"/>
    <n v="-50.82"/>
    <n v="50.82"/>
    <x v="4"/>
    <s v="Venture X - Ending in 3426"/>
  </r>
  <r>
    <d v="2025-09-07T00:00:00"/>
    <s v="Citi Bike"/>
    <n v="-1.91"/>
    <n v="1.91"/>
    <x v="5"/>
    <s v="Credit Card ( ) - Ending in 3240"/>
  </r>
  <r>
    <d v="2025-09-07T00:00:00"/>
    <s v="Apple"/>
    <n v="-9.99"/>
    <n v="9.99"/>
    <x v="3"/>
    <s v="Credit Card - Ending in 7288"/>
  </r>
  <r>
    <d v="2025-09-08T00:00:00"/>
    <s v="Bravo Pizza"/>
    <n v="-5.71"/>
    <n v="5.71"/>
    <x v="0"/>
    <s v="Bilt World Elite Mastercard - Ending in 3895"/>
  </r>
  <r>
    <d v="2025-09-08T00:00:00"/>
    <s v="Ny Pizza Suprema. New York Ny"/>
    <n v="-4.9400000000000004"/>
    <n v="4.9400000000000004"/>
    <x v="0"/>
    <s v="Bilt World Elite Mastercard - Ending in 3895"/>
  </r>
  <r>
    <d v="2025-09-09T00:00:00"/>
    <s v="Made In New York New York Ny"/>
    <n v="-11.32"/>
    <n v="11.32"/>
    <x v="0"/>
    <s v="Bilt World Elite Mastercard - Ending in 3895"/>
  </r>
  <r>
    <d v="2025-09-09T00:00:00"/>
    <s v="Liberty Bagels Midtown New York Ny"/>
    <n v="-9.91"/>
    <n v="9.91"/>
    <x v="0"/>
    <s v="Bilt World Elite Mastercard - Ending in 3895"/>
  </r>
  <r>
    <d v="2025-09-09T00:00:00"/>
    <s v="Whole Foods Market"/>
    <n v="-4.99"/>
    <n v="4.99"/>
    <x v="1"/>
    <s v="Venture X - Ending in 3426"/>
  </r>
  <r>
    <d v="2025-09-10T00:00:00"/>
    <s v="Talias Steakhouse"/>
    <n v="-13.6"/>
    <n v="13.6"/>
    <x v="0"/>
    <s v="Credit Card ( ) - Ending in 3240"/>
  </r>
  <r>
    <d v="2025-09-10T00:00:00"/>
    <s v="Super Nice Coffee And Bakery"/>
    <n v="-9.8000000000000007"/>
    <n v="9.8000000000000007"/>
    <x v="0"/>
    <s v="Bilt World Elite Mastercard - Ending in 3895"/>
  </r>
  <r>
    <d v="2025-09-10T00:00:00"/>
    <s v="Daniel Barbershop"/>
    <n v="-33.700000000000003"/>
    <n v="33.700000000000003"/>
    <x v="3"/>
    <s v="Venture X - Ending in 3426"/>
  </r>
  <r>
    <d v="2025-09-10T00:00:00"/>
    <s v="Target"/>
    <n v="-4.1399999999999997"/>
    <n v="4.1399999999999997"/>
    <x v="1"/>
    <s v="Checking Account - Ending in 7017"/>
  </r>
  <r>
    <d v="2025-09-10T00:00:00"/>
    <s v="Target"/>
    <n v="-53.34"/>
    <n v="53.34"/>
    <x v="1"/>
    <s v="Checking Account - Ending in 7017"/>
  </r>
  <r>
    <d v="2025-09-11T00:00:00"/>
    <s v="Taco Bell"/>
    <n v="-14.82"/>
    <n v="14.82"/>
    <x v="0"/>
    <s v="Credit Card ( ) - Ending in 3240"/>
  </r>
  <r>
    <d v="2025-09-11T00:00:00"/>
    <s v="Wendy's"/>
    <n v="-5.07"/>
    <n v="5.07"/>
    <x v="0"/>
    <s v="Credit Card ( ) - Ending in 3240"/>
  </r>
  <r>
    <d v="2025-09-12T00:00:00"/>
    <s v="Taco Bell"/>
    <n v="-6.34"/>
    <n v="13.3"/>
    <x v="0"/>
    <s v="Credit Card ( ) - Ending in 3240"/>
  </r>
  <r>
    <d v="2025-09-12T00:00:00"/>
    <s v="Ace Hardware"/>
    <n v="-8.4700000000000006"/>
    <n v="8.4700000000000006"/>
    <x v="4"/>
    <s v="Venture X - Ending in 3426"/>
  </r>
  <r>
    <d v="2025-09-15T00:00:00"/>
    <s v="Amazon"/>
    <n v="17.43"/>
    <n v="-17.43"/>
    <x v="1"/>
    <s v="Credit Card - Ending in 7288"/>
  </r>
  <r>
    <d v="2025-09-16T00:00:00"/>
    <s v="Laundry"/>
    <n v="-10"/>
    <n v="10"/>
    <x v="2"/>
    <s v="Bilt World Elite Mastercard - Ending in 3895"/>
  </r>
  <r>
    <d v="2025-09-16T00:00:00"/>
    <s v="Amazon Marketplace"/>
    <n v="-107.05"/>
    <n v="107.05"/>
    <x v="4"/>
    <s v="Credit Card - Ending in 7288"/>
  </r>
  <r>
    <d v="2025-09-16T00:00:00"/>
    <s v="Patagonia Seattle"/>
    <n v="-153.38999999999999"/>
    <n v="89.91"/>
    <x v="6"/>
    <s v="Venture X - Ending in 3426"/>
  </r>
  <r>
    <d v="2025-09-16T00:00:00"/>
    <s v="Uniqlo"/>
    <n v="-99.2"/>
    <n v="99.2"/>
    <x v="6"/>
    <s v="Venture X - Ending in 3426"/>
  </r>
  <r>
    <d v="2025-09-17T00:00:00"/>
    <s v="Google Cloud Storage"/>
    <n v="-1.99"/>
    <n v="1.99"/>
    <x v="3"/>
    <s v="Credit Card ( ) - Ending in 3240"/>
  </r>
  <r>
    <d v="2025-09-17T00:00:00"/>
    <s v="Lyft"/>
    <n v="-44.99"/>
    <n v="44.99"/>
    <x v="5"/>
    <s v="Credit Card ( ) - Ending in 3240"/>
  </r>
  <r>
    <d v="2025-09-17T00:00:00"/>
    <s v="Amazon Marketplace"/>
    <n v="-8.69"/>
    <n v="8.69"/>
    <x v="1"/>
    <s v="Credit Card - Ending in 7288"/>
  </r>
  <r>
    <d v="2025-09-17T00:00:00"/>
    <s v="Amazon"/>
    <n v="-11.94"/>
    <n v="11.94"/>
    <x v="1"/>
    <s v="Credit Card - Ending in 7288"/>
  </r>
  <r>
    <d v="2025-09-18T00:00:00"/>
    <s v="Apple"/>
    <n v="-2.99"/>
    <n v="2.99"/>
    <x v="3"/>
    <s v="Credit Card - Ending in 7288"/>
  </r>
  <r>
    <d v="2025-09-19T00:00:00"/>
    <s v="Utilities_Sept_25"/>
    <n v="-84.83"/>
    <n v="84.83"/>
    <x v="2"/>
    <s v="Bilt World Elite Mastercard - Ending in 3895"/>
  </r>
  <r>
    <d v="2025-09-19T00:00:00"/>
    <s v="Cvs Pharmacy"/>
    <n v="-12.15"/>
    <n v="12.15"/>
    <x v="1"/>
    <s v="Venture X - Ending in 3426"/>
  </r>
  <r>
    <d v="2025-09-19T00:00:00"/>
    <s v="The-qrcode-generator"/>
    <n v="-10"/>
    <n v="10"/>
    <x v="7"/>
    <s v="Venture X - Ending in 3426"/>
  </r>
  <r>
    <d v="2025-09-19T00:00:00"/>
    <s v="Trader Joe's"/>
    <n v="-27.07"/>
    <n v="27.07"/>
    <x v="1"/>
    <s v="Venture X - Ending in 3426"/>
  </r>
  <r>
    <d v="2025-09-22T00:00:00"/>
    <s v="Wendy's"/>
    <n v="-2.5299999999999998"/>
    <n v="2.5299999999999998"/>
    <x v="0"/>
    <s v="Credit Card ( ) - Ending in 3240"/>
  </r>
  <r>
    <d v="2025-09-22T00:00:00"/>
    <s v="Rent- September 2025"/>
    <n v="-3250"/>
    <n v="3250"/>
    <x v="2"/>
    <s v="Bilt World Elite Mastercard - Ending in 3895"/>
  </r>
  <r>
    <d v="2025-09-22T00:00:00"/>
    <s v="Food"/>
    <n v="-6.56"/>
    <n v="6.56"/>
    <x v="1"/>
    <s v="Credit Card ( ) - Ending in 3240"/>
  </r>
  <r>
    <d v="2025-09-22T00:00:00"/>
    <s v="Sq *shrimad Rajchandra Mi"/>
    <n v="-20"/>
    <n v="20"/>
    <x v="7"/>
    <s v="Venture X - Ending in 3426"/>
  </r>
  <r>
    <d v="2025-09-23T00:00:00"/>
    <s v="Rent Payment Transaction Fee"/>
    <n v="-2.4900000000000002"/>
    <n v="2.4900000000000002"/>
    <x v="2"/>
    <s v="Bilt World Elite Mastercard - Ending in 3895"/>
  </r>
  <r>
    <d v="2025-09-23T00:00:00"/>
    <s v="Cvs Pharmacy"/>
    <n v="-54.25"/>
    <n v="54.25"/>
    <x v="1"/>
    <s v="Venture X - Ending in 3426"/>
  </r>
  <r>
    <d v="2025-09-24T00:00:00"/>
    <s v="Food"/>
    <n v="-36.729999999999997"/>
    <n v="36.729999999999997"/>
    <x v="1"/>
    <s v="Credit Card ( ) - Ending in 3240"/>
  </r>
  <r>
    <d v="2025-09-24T00:00:00"/>
    <s v="Cvs Pharmacy"/>
    <n v="-27.95"/>
    <n v="27.95"/>
    <x v="4"/>
    <s v="Venture X - Ending in 3426"/>
  </r>
  <r>
    <d v="2025-09-24T00:00:00"/>
    <s v="Cvs Pharmacy"/>
    <n v="-19.420000000000002"/>
    <n v="15.620000000000001"/>
    <x v="1"/>
    <s v="Venture X - Ending in 3426"/>
  </r>
  <r>
    <d v="2025-09-24T00:00:00"/>
    <s v="Gary's Car Wash"/>
    <n v="-16"/>
    <n v="11.125"/>
    <x v="3"/>
    <s v="Venture X - Ending in 3426"/>
  </r>
  <r>
    <d v="2025-09-26T00:00:00"/>
    <s v="Spectrum"/>
    <n v="-30"/>
    <n v="30"/>
    <x v="2"/>
    <s v="Venture X - Ending in 3426"/>
  </r>
  <r>
    <d v="2025-09-26T00:00:00"/>
    <s v="Pizzaro`s"/>
    <n v="-50.82"/>
    <n v="63.17"/>
    <x v="0"/>
    <s v="Venture X - Ending in 3426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d v="2025-10-01T00:00:00"/>
    <s v="Whole Foods Market"/>
    <n v="-9.44"/>
    <n v="9.44"/>
    <x v="0"/>
    <s v="Venture X - Ending in 3426"/>
  </r>
  <r>
    <d v="2025-10-01T00:00:00"/>
    <s v="VENMO"/>
    <n v="-1.99"/>
    <n v="1.99"/>
    <x v="1"/>
    <s v="Venture X - Ending in 3426"/>
  </r>
  <r>
    <d v="2025-10-01T00:00:00"/>
    <s v="Cvs Pharmacy"/>
    <n v="-17.48"/>
    <n v="17.48"/>
    <x v="0"/>
    <s v="Credit Card - Ending in 7288"/>
  </r>
  <r>
    <d v="2025-10-01T00:00:00"/>
    <s v="Amazon"/>
    <n v="-22.85"/>
    <n v="22.85"/>
    <x v="1"/>
    <s v="Credit Card - Ending in 7288"/>
  </r>
  <r>
    <d v="2025-10-01T00:00:00"/>
    <s v="Vending Machine"/>
    <n v="-1.5"/>
    <n v="1.5"/>
    <x v="0"/>
    <s v="Venture X - Ending in 3426"/>
  </r>
  <r>
    <d v="2025-10-01T00:00:00"/>
    <s v="US Ashram Jacket"/>
    <n v="-40"/>
    <n v="40"/>
    <x v="1"/>
    <s v="Checking Account - Ending in 7017"/>
  </r>
  <r>
    <d v="2025-10-02T00:00:00"/>
    <s v="Target"/>
    <n v="-17.53"/>
    <n v="17.53"/>
    <x v="0"/>
    <s v="Checking Account - Ending in 7017"/>
  </r>
  <r>
    <d v="2025-10-03T00:00:00"/>
    <s v="Key Food"/>
    <n v="-9.19"/>
    <n v="9.19"/>
    <x v="0"/>
    <s v="Venture X - Ending in 3426"/>
  </r>
  <r>
    <d v="2025-10-03T00:00:00"/>
    <s v="Comewelcom"/>
    <n v="-5"/>
    <n v="5"/>
    <x v="1"/>
    <s v="Venture X - Ending in 3426"/>
  </r>
  <r>
    <d v="2025-10-03T00:00:00"/>
    <s v="Whole Foods Market"/>
    <n v="-12.74"/>
    <n v="12.74"/>
    <x v="0"/>
    <s v="Venture X - Ending in 3426"/>
  </r>
  <r>
    <d v="2025-10-03T00:00:00"/>
    <s v="H Mart"/>
    <n v="-8.3800000000000008"/>
    <n v="8.3800000000000008"/>
    <x v="0"/>
    <s v="Venture X - Ending in 3426"/>
  </r>
  <r>
    <d v="2025-10-03T00:00:00"/>
    <s v="Freshy's Deli &amp; Grocery"/>
    <n v="-18.66"/>
    <n v="18.66"/>
    <x v="2"/>
    <s v="Venture X - Ending in 3426"/>
  </r>
  <r>
    <d v="2025-10-03T00:00:00"/>
    <s v="Trader Joe's"/>
    <n v="-72.52"/>
    <n v="72.52"/>
    <x v="0"/>
    <s v="Venture X - Ending in 3426"/>
  </r>
  <r>
    <d v="2025-10-04T00:00:00"/>
    <s v="VENMO"/>
    <n v="-4.25"/>
    <n v="4.25"/>
    <x v="1"/>
    <s v="Venture X - Ending in 3426"/>
  </r>
  <r>
    <d v="2025-10-06T00:00:00"/>
    <s v="L'industrie Pizzeria"/>
    <n v="-9.25"/>
    <n v="9.25"/>
    <x v="2"/>
    <s v="Credit Card ( ) - Ending in 3240"/>
  </r>
  <r>
    <d v="2025-10-06T00:00:00"/>
    <s v="JFK 36 Vending Machine"/>
    <n v="-2.1"/>
    <n v="2.1"/>
    <x v="0"/>
    <s v="Bilt World Elite Mastercard - Ending in 3895"/>
  </r>
  <r>
    <d v="2025-10-06T00:00:00"/>
    <s v="Liberty Bagels Midtown New York Ny"/>
    <n v="-19.82"/>
    <n v="19.82"/>
    <x v="2"/>
    <s v="Bilt World Elite Mastercard - Ending in 3895"/>
  </r>
  <r>
    <d v="2025-10-06T00:00:00"/>
    <s v="Whole Foods Market"/>
    <n v="-6.23"/>
    <n v="6.23"/>
    <x v="0"/>
    <s v="Venture X - Ending in 3426"/>
  </r>
  <r>
    <d v="2025-10-06T00:00:00"/>
    <s v="Whole Foods Market"/>
    <n v="-20.9"/>
    <n v="20.9"/>
    <x v="0"/>
    <s v="Venture X - Ending in 3426"/>
  </r>
  <r>
    <d v="2025-10-06T00:00:00"/>
    <s v="VENMO"/>
    <n v="-5"/>
    <n v="5"/>
    <x v="1"/>
    <s v="Venture X - Ending in 3426"/>
  </r>
  <r>
    <d v="2025-10-06T00:00:00"/>
    <s v="VENMO"/>
    <n v="-5"/>
    <n v="5"/>
    <x v="1"/>
    <s v="Venture X - Ending in 3426"/>
  </r>
  <r>
    <d v="2025-10-06T00:00:00"/>
    <s v="VENMO"/>
    <n v="-25"/>
    <n v="25"/>
    <x v="1"/>
    <s v="Venture X - Ending in 3426"/>
  </r>
  <r>
    <d v="2025-10-07T00:00:00"/>
    <s v="Amazon Marketplace"/>
    <n v="-11.75"/>
    <n v="11.75"/>
    <x v="1"/>
    <s v="Credit Card - Ending in 7288"/>
  </r>
  <r>
    <d v="2025-10-07T00:00:00"/>
    <s v="Amazon Marketplace"/>
    <n v="-6.52"/>
    <n v="6.52"/>
    <x v="1"/>
    <s v="Credit Card - Ending in 7288"/>
  </r>
  <r>
    <d v="2025-10-07T00:00:00"/>
    <s v="iCloud"/>
    <n v="-9.99"/>
    <n v="9.99"/>
    <x v="1"/>
    <s v="Credit Card - Ending in 7288"/>
  </r>
  <r>
    <d v="2025-10-08T00:00:00"/>
    <s v="Target"/>
    <n v="-32.049999999999997"/>
    <n v="32.049999999999997"/>
    <x v="1"/>
    <s v="Checking Account - Ending in 7017"/>
  </r>
  <r>
    <d v="2025-10-08T00:00:00"/>
    <s v="Instacart"/>
    <n v="-30.92"/>
    <n v="30.92"/>
    <x v="0"/>
    <s v="Credit Card - Ending in 7288"/>
  </r>
  <r>
    <d v="2025-10-08T00:00:00"/>
    <s v="Laundry"/>
    <n v="-10"/>
    <n v="10"/>
    <x v="3"/>
    <s v="Bilt World Elite Mastercard - Ending in 3895"/>
  </r>
  <r>
    <d v="2025-10-08T00:00:00"/>
    <s v="Cvs Pharmacy"/>
    <n v="-5.76"/>
    <n v="5.76"/>
    <x v="0"/>
    <s v="Bilt World Elite Mastercard - Ending in 3895"/>
  </r>
  <r>
    <d v="2025-10-08T00:00:00"/>
    <s v="Trader Joe's"/>
    <n v="-5.58"/>
    <n v="5.58"/>
    <x v="0"/>
    <s v="Bilt World Elite Mastercard - Ending in 3895"/>
  </r>
  <r>
    <d v="2025-10-09T00:00:00"/>
    <s v="Birkenstock"/>
    <n v="-42.46"/>
    <n v="42.46"/>
    <x v="1"/>
    <s v="Bilt World Elite Mastercard - Ending in 3895"/>
  </r>
  <r>
    <d v="2025-10-09T00:00:00"/>
    <s v="Daniel Barbershop"/>
    <n v="-32.700000000000003"/>
    <n v="32.700000000000003"/>
    <x v="1"/>
    <s v="Venture X - Ending in 3426"/>
  </r>
  <r>
    <d v="2025-10-09T00:00:00"/>
    <s v="Whole Foods Market"/>
    <n v="-22.58"/>
    <n v="22.58"/>
    <x v="0"/>
    <s v="Venture X - Ending in 3426"/>
  </r>
  <r>
    <d v="2025-10-09T00:00:00"/>
    <s v="Key Food"/>
    <n v="-7.99"/>
    <n v="7.99"/>
    <x v="0"/>
    <s v="Venture X - Ending in 3426"/>
  </r>
  <r>
    <d v="2025-10-09T00:00:00"/>
    <s v="Key Food"/>
    <n v="-43.9"/>
    <n v="43.9"/>
    <x v="0"/>
    <s v="Venture X - Ending in 3426"/>
  </r>
  <r>
    <d v="2025-10-09T00:00:00"/>
    <s v="Target"/>
    <n v="-23.84"/>
    <n v="23.84"/>
    <x v="0"/>
    <s v="Checking Account - Ending in 7017"/>
  </r>
  <r>
    <d v="2025-10-10T00:00:00"/>
    <s v="Deli Fresh"/>
    <n v="-13.12"/>
    <n v="13.12"/>
    <x v="2"/>
    <s v="Venture X - Ending in 3426"/>
  </r>
  <r>
    <d v="2025-10-14T00:00:00"/>
    <s v="US Ashram Expenses (w/ Nikhil)"/>
    <n v="-82.7"/>
    <n v="82.7"/>
    <x v="1"/>
    <s v="Checking Account - Ending in 7017"/>
  </r>
  <r>
    <d v="2025-10-16T00:00:00"/>
    <s v="Shrimad Rajchandra Div"/>
    <n v="-3.3"/>
    <n v="8.0500000000000007"/>
    <x v="2"/>
    <s v="Venture X - Ending in 3426"/>
  </r>
  <r>
    <d v="2025-10-17T00:00:00"/>
    <s v="Cot*flt"/>
    <n v="-380.3"/>
    <n v="380.3"/>
    <x v="4"/>
    <s v="Venture X - Ending in 3426"/>
  </r>
  <r>
    <d v="2025-10-17T00:00:00"/>
    <s v="Cot*flt"/>
    <n v="-680.3"/>
    <n v="680.3"/>
    <x v="4"/>
    <s v="Venture X - Ending in 3426"/>
  </r>
  <r>
    <d v="2025-10-17T00:00:00"/>
    <s v="Amazon Marketplace"/>
    <n v="-10.76"/>
    <n v="10.76"/>
    <x v="1"/>
    <s v="Credit Card - Ending in 7288"/>
  </r>
  <r>
    <d v="2025-10-17T00:00:00"/>
    <s v="Google Cloud Storage"/>
    <n v="-1.99"/>
    <n v="1.99"/>
    <x v="1"/>
    <s v="Credit Card ( ) - Ending in 3240"/>
  </r>
  <r>
    <d v="2025-10-18T00:00:00"/>
    <s v="Sydney-Delhi Flight"/>
    <n v="-1221.52"/>
    <n v="610.76"/>
    <x v="4"/>
    <s v="Venture X - Ending in 3426"/>
  </r>
  <r>
    <d v="2025-10-18T00:00:00"/>
    <s v="Apple"/>
    <n v="-2.99"/>
    <n v="2.99"/>
    <x v="1"/>
    <s v="Credit Card - Ending in 7288"/>
  </r>
  <r>
    <d v="2025-10-20T00:00:00"/>
    <s v="Cot*flt"/>
    <n v="-277"/>
    <n v="277"/>
    <x v="4"/>
    <s v="Venture X - Ending in 3426"/>
  </r>
  <r>
    <d v="2025-10-20T00:00:00"/>
    <s v="Utility Bill"/>
    <n v="-75.98"/>
    <n v="75.98"/>
    <x v="3"/>
    <s v="Bilt World Elite Mastercard - Ending in 3895"/>
  </r>
  <r>
    <d v="2025-10-21T00:00:00"/>
    <s v="Rent Transaction Fee"/>
    <n v="-2.4900000000000002"/>
    <n v="2.4900000000000002"/>
    <x v="3"/>
    <s v="Bilt World Elite Mastercard - Ending in 3895"/>
  </r>
  <r>
    <d v="2025-10-21T00:00:00"/>
    <s v="October Rent (Incl. sublet)"/>
    <n v="-3250"/>
    <n v="170"/>
    <x v="3"/>
    <s v="Bilt World Elite Mastercard - Ending in 3895"/>
  </r>
  <r>
    <d v="2025-10-25T00:00:00"/>
    <s v="Translink Ticketing"/>
    <n v="-0.33"/>
    <n v="0.33"/>
    <x v="4"/>
    <s v="Credit Card ( ) - Ending in 3240"/>
  </r>
  <r>
    <d v="2025-10-25T00:00:00"/>
    <s v="Dharampur Café"/>
    <n v="-2.39"/>
    <n v="4.04"/>
    <x v="2"/>
    <s v="Venture X - Ending in 3426"/>
  </r>
  <r>
    <d v="2025-10-26T00:00:00"/>
    <s v="The Great Aussie Sweet"/>
    <n v="-28.22"/>
    <n v="14.11"/>
    <x v="4"/>
    <s v="Venture X - Ending in 3426"/>
  </r>
  <r>
    <d v="2025-10-28T00:00:00"/>
    <s v="7-eleven"/>
    <n v="-3.61"/>
    <n v="3.61"/>
    <x v="4"/>
    <s v="Venture X - Ending in 3426"/>
  </r>
  <r>
    <d v="2025-10-29T00:00:00"/>
    <s v="Qantas Airways"/>
    <n v="-65"/>
    <n v="65"/>
    <x v="4"/>
    <s v="Venture X - Ending in 3426"/>
  </r>
  <r>
    <d v="2025-10-29T00:00:00"/>
    <s v="The Syndicate Trust"/>
    <n v="-44.22"/>
    <n v="22.11"/>
    <x v="4"/>
    <s v="Venture X - Ending in 3426"/>
  </r>
  <r>
    <d v="2025-10-29T00:00:00"/>
    <s v="City Of Austin Parking"/>
    <n v="-3.9"/>
    <n v="3.9"/>
    <x v="4"/>
    <s v="Venture X - Ending in 3426"/>
  </r>
  <r>
    <d v="2025-10-29T00:00:00"/>
    <s v="7-eleven"/>
    <n v="-1.97"/>
    <n v="1.97"/>
    <x v="4"/>
    <s v="Venture X - Ending in 3426"/>
  </r>
  <r>
    <d v="2025-10-30T00:00:00"/>
    <s v="Qantas Airways"/>
    <n v="-6.2"/>
    <n v="6.2"/>
    <x v="4"/>
    <s v="Venture X - Ending in 3426"/>
  </r>
  <r>
    <d v="2025-10-30T00:00:00"/>
    <s v="Yomg Cairns/125 Abbott St"/>
    <n v="-4.1900000000000004"/>
    <n v="4.1900000000000004"/>
    <x v="4"/>
    <s v="Venture X - Ending in 3426"/>
  </r>
  <r>
    <d v="2025-10-30T00:00:00"/>
    <s v="Qantas Airways"/>
    <n v="-65"/>
    <n v="65"/>
    <x v="4"/>
    <s v="Venture X - Ending in 3426"/>
  </r>
  <r>
    <d v="2025-10-30T00:00:00"/>
    <s v="Qantas Airways"/>
    <n v="-6.2"/>
    <n v="6.2"/>
    <x v="4"/>
    <s v="Venture X - Ending in 3426"/>
  </r>
  <r>
    <d v="2025-10-30T00:00:00"/>
    <s v="Bp Newstead 1421"/>
    <n v="-28.55"/>
    <n v="28.55"/>
    <x v="4"/>
    <s v="Venture X - Ending in 3426"/>
  </r>
  <r>
    <d v="2025-10-30T00:00:00"/>
    <s v="Wilson Parking"/>
    <n v="-14.44"/>
    <n v="7.22"/>
    <x v="4"/>
    <s v="Venture X - Ending in 3426"/>
  </r>
  <r>
    <d v="2025-10-30T00:00:00"/>
    <s v="Sq *here's Good"/>
    <n v="-35.53"/>
    <n v="17.765000000000001"/>
    <x v="4"/>
    <s v="Venture X - Ending in 3426"/>
  </r>
  <r>
    <d v="2025-10-30T00:00:00"/>
    <s v="Cairns Regional Coun"/>
    <n v="-10.55"/>
    <n v="10.55"/>
    <x v="4"/>
    <s v="Venture X - Ending in 3426"/>
  </r>
  <r>
    <d v="2025-10-30T00:00:00"/>
    <s v="Translink Ticketing"/>
    <n v="-0.66"/>
    <n v="0.66"/>
    <x v="4"/>
    <s v="Venture X - Ending in 3426"/>
  </r>
  <r>
    <d v="2025-10-30T00:00:00"/>
    <s v="Redspotcairnsairportdomes"/>
    <n v="-189.87"/>
    <n v="189.87"/>
    <x v="4"/>
    <s v="Venture X - Ending in 3426"/>
  </r>
  <r>
    <d v="2025-10-30T00:00:00"/>
    <s v="Infinity Goldcoast"/>
    <n v="-42.24"/>
    <n v="42.24"/>
    <x v="4"/>
    <s v="Venture X - Ending in 3426"/>
  </r>
  <r>
    <d v="2025-10-30T00:00:00"/>
    <s v="Vista Parking"/>
    <n v="-34.78"/>
    <n v="34.78"/>
    <x v="4"/>
    <s v="Venture X - Ending in 3426"/>
  </r>
  <r>
    <d v="2025-10-31T00:00:00"/>
    <s v="7-eleven"/>
    <n v="-5.38"/>
    <n v="2.69"/>
    <x v="4"/>
    <s v="Venture X - Ending in 3426"/>
  </r>
  <r>
    <d v="2025-10-31T00:00:00"/>
    <s v="Rainforestation Nature"/>
    <n v="-50.76"/>
    <n v="25.38"/>
    <x v="4"/>
    <s v="Venture X - Ending in 3426"/>
  </r>
  <r>
    <d v="2025-10-31T00:00:00"/>
    <s v="Cairns Regional Coun"/>
    <n v="-1.46"/>
    <n v="1.46"/>
    <x v="4"/>
    <s v="Venture X - Ending in 3426"/>
  </r>
  <r>
    <d v="2025-10-31T00:00:00"/>
    <s v="The Bottle Of Milk"/>
    <n v="-35.6"/>
    <n v="17.8"/>
    <x v="4"/>
    <s v="Venture X - Ending in 3426"/>
  </r>
  <r>
    <d v="2025-10-31T00:00:00"/>
    <s v="Virgin Austrxxxxxxxxx7044"/>
    <n v="-758.77"/>
    <n v="299.38499999999999"/>
    <x v="4"/>
    <s v="Venture X - Ending in 3426"/>
  </r>
  <r>
    <d v="2025-10-31T00:00:00"/>
    <s v="Subway"/>
    <n v="-7.61"/>
    <n v="5.1150000000000002"/>
    <x v="4"/>
    <s v="Venture X - Ending in 342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d v="2025-11-01T00:00:00"/>
    <s v="Qeeq"/>
    <n v="-115.16"/>
    <n v="115.16"/>
    <x v="0"/>
    <s v="Venture X - Ending in 3426"/>
  </r>
  <r>
    <d v="2025-11-02T00:00:00"/>
    <s v="Luxuryescapes Southbank"/>
    <n v="-98.72"/>
    <n v="101.67999999999999"/>
    <x v="0"/>
    <s v="Credit Card - Ending in 7288"/>
  </r>
  <r>
    <d v="2025-11-03T00:00:00"/>
    <s v="Dollar Melbourne Fran"/>
    <n v="-266.58"/>
    <n v="266.58"/>
    <x v="0"/>
    <s v="Venture X - Ending in 3426"/>
  </r>
  <r>
    <d v="2025-11-03T00:00:00"/>
    <s v="VENMO"/>
    <n v="-1.99"/>
    <n v="1.99"/>
    <x v="0"/>
    <s v="Venture X - Ending in 3426"/>
  </r>
  <r>
    <d v="2025-11-03T00:00:00"/>
    <s v="MCG Stadium Tour"/>
    <n v="-16.41"/>
    <n v="16.41"/>
    <x v="0"/>
    <s v="Venture X - Ending in 3426"/>
  </r>
  <r>
    <d v="2025-11-03T00:00:00"/>
    <s v="Avis Budget Group"/>
    <n v="-6.69"/>
    <n v="6.69"/>
    <x v="0"/>
    <s v="Venture X - Ending in 3426"/>
  </r>
  <r>
    <d v="2025-11-03T00:00:00"/>
    <s v="Hungry Jack's"/>
    <n v="-35.11"/>
    <n v="35.11"/>
    <x v="0"/>
    <s v="Venture X - Ending in 3426"/>
  </r>
  <r>
    <d v="2025-11-03T00:00:00"/>
    <s v="Wilson Parking"/>
    <n v="-17.059999999999999"/>
    <n v="17.059999999999999"/>
    <x v="0"/>
    <s v="Venture X - Ending in 3426"/>
  </r>
  <r>
    <d v="2025-11-03T00:00:00"/>
    <s v="Sq *pidapipo Cbd"/>
    <n v="-23.63"/>
    <n v="23.63"/>
    <x v="0"/>
    <s v="Venture X - Ending in 3426"/>
  </r>
  <r>
    <d v="2025-11-04T00:00:00"/>
    <s v="Sq *frenchies Bakery &amp; Pa"/>
    <n v="-4"/>
    <n v="4"/>
    <x v="0"/>
    <s v="Venture X - Ending in 3426"/>
  </r>
  <r>
    <d v="2025-11-04T00:00:00"/>
    <s v="Sq *deli Republic"/>
    <n v="-14.44"/>
    <n v="14.44"/>
    <x v="0"/>
    <s v="Venture X - Ending in 3426"/>
  </r>
  <r>
    <d v="2025-11-04T00:00:00"/>
    <s v="Virgin Australia"/>
    <n v="-232.14"/>
    <n v="232.14"/>
    <x v="0"/>
    <s v="Venture X - Ending in 3426"/>
  </r>
  <r>
    <d v="2025-11-04T00:00:00"/>
    <s v="Stressfreecarrental"/>
    <n v="-8.2100000000000009"/>
    <n v="8.2100000000000009"/>
    <x v="0"/>
    <s v="Venture X - Ending in 3426"/>
  </r>
  <r>
    <d v="2025-11-05T00:00:00"/>
    <s v="Aldi"/>
    <n v="-6.64"/>
    <n v="6.64"/>
    <x v="0"/>
    <s v="Venture X - Ending in 3426"/>
  </r>
  <r>
    <d v="2025-11-05T00:00:00"/>
    <s v="Nature's Market"/>
    <n v="-6"/>
    <n v="6"/>
    <x v="0"/>
    <s v="Venture X - Ending in 3426"/>
  </r>
  <r>
    <d v="2025-11-05T00:00:00"/>
    <s v="Sushi Zen"/>
    <n v="-3.33"/>
    <n v="3.33"/>
    <x v="0"/>
    <s v="Venture X - Ending in 3426"/>
  </r>
  <r>
    <d v="2025-11-05T00:00:00"/>
    <s v="Sushi Zen"/>
    <n v="-2.86"/>
    <n v="2.86"/>
    <x v="0"/>
    <s v="Venture X - Ending in 3426"/>
  </r>
  <r>
    <d v="2025-11-06T00:00:00"/>
    <s v="Transport For Nsw"/>
    <n v="-1.97"/>
    <n v="1.97"/>
    <x v="0"/>
    <s v="Credit Card ( ) - Ending in 3240"/>
  </r>
  <r>
    <d v="2025-11-06T00:00:00"/>
    <s v="Lime"/>
    <n v="-11.89"/>
    <n v="11.89"/>
    <x v="0"/>
    <s v="Venture X - Ending in 3426"/>
  </r>
  <r>
    <d v="2025-11-06T00:00:00"/>
    <s v="Lime"/>
    <n v="-0.37"/>
    <n v="0.37"/>
    <x v="0"/>
    <s v="Venture X - Ending in 3426"/>
  </r>
  <r>
    <d v="2025-11-06T00:00:00"/>
    <s v="Lime*pass 6a2s"/>
    <n v="-4.55"/>
    <n v="4.55"/>
    <x v="0"/>
    <s v="Venture X - Ending in 3426"/>
  </r>
  <r>
    <d v="2025-11-06T00:00:00"/>
    <s v="Ampol South Yar 33260f"/>
    <n v="-78.599999999999994"/>
    <n v="78.599999999999994"/>
    <x v="0"/>
    <s v="Venture X - Ending in 3426"/>
  </r>
  <r>
    <d v="2025-11-06T00:00:00"/>
    <s v="Lime"/>
    <n v="-12.26"/>
    <n v="12.26"/>
    <x v="0"/>
    <s v="Venture X - Ending in 3426"/>
  </r>
  <r>
    <d v="2025-11-06T00:00:00"/>
    <s v="Bari's Pizza Pasta"/>
    <n v="-21.92"/>
    <n v="21.92"/>
    <x v="0"/>
    <s v="Venture X - Ending in 3426"/>
  </r>
  <r>
    <d v="2025-11-06T00:00:00"/>
    <s v="Yo-chi Surry Hills"/>
    <n v="-7.19"/>
    <n v="7.19"/>
    <x v="0"/>
    <s v="Venture X - Ending in 3426"/>
  </r>
  <r>
    <d v="2025-11-06T00:00:00"/>
    <s v="Lime"/>
    <n v="-11.89"/>
    <n v="11.89"/>
    <x v="0"/>
    <s v="Venture X - Ending in 3426"/>
  </r>
  <r>
    <d v="2025-11-06T00:00:00"/>
    <s v="Lime"/>
    <n v="-12.26"/>
    <n v="12.26"/>
    <x v="0"/>
    <s v="Venture X - Ending in 3426"/>
  </r>
  <r>
    <d v="2025-11-07T00:00:00"/>
    <s v="The Body Shop"/>
    <n v="-14.67"/>
    <n v="14.67"/>
    <x v="0"/>
    <s v="Venture X - Ending in 3426"/>
  </r>
  <r>
    <d v="2025-11-07T00:00:00"/>
    <s v="Apple"/>
    <n v="-9.99"/>
    <n v="9.99"/>
    <x v="1"/>
    <s v="Credit Card - Ending in 7288"/>
  </r>
  <r>
    <d v="2025-11-08T00:00:00"/>
    <s v="Lululemon Athletica"/>
    <n v="-97.16"/>
    <n v="97.16"/>
    <x v="0"/>
    <s v="Venture X - Ending in 3426"/>
  </r>
  <r>
    <d v="2025-11-08T00:00:00"/>
    <s v="Hungry Jack's"/>
    <n v="-21.5"/>
    <n v="21.5"/>
    <x v="0"/>
    <s v="Venture X - Ending in 3426"/>
  </r>
  <r>
    <d v="2025-11-08T00:00:00"/>
    <s v="Transport For Nsw"/>
    <n v="-1.97"/>
    <n v="1.97"/>
    <x v="0"/>
    <s v="Venture X - Ending in 3426"/>
  </r>
  <r>
    <d v="2025-11-08T00:00:00"/>
    <s v="Kid Stuff"/>
    <n v="-45.63"/>
    <n v="45.63"/>
    <x v="0"/>
    <s v="Venture X - Ending in 3426"/>
  </r>
  <r>
    <d v="2025-11-10T00:00:00"/>
    <s v="Air-india"/>
    <n v="-89"/>
    <n v="89"/>
    <x v="0"/>
    <s v="Venture X - Ending in 3426"/>
  </r>
  <r>
    <d v="2025-11-10T00:00:00"/>
    <s v="Smarte Carte"/>
    <n v="-3.25"/>
    <n v="6.5"/>
    <x v="0"/>
    <s v="Venture X - Ending in 3426"/>
  </r>
  <r>
    <d v="2025-11-10T00:00:00"/>
    <s v="Delhi-Bombay Flight"/>
    <n v="-79.25"/>
    <n v="79.25"/>
    <x v="0"/>
    <s v="Venture X - Ending in 3426"/>
  </r>
  <r>
    <d v="2025-11-10T00:00:00"/>
    <s v="Bp Service Station"/>
    <n v="-62.98"/>
    <n v="62.98"/>
    <x v="0"/>
    <s v="Venture X - Ending in 3426"/>
  </r>
  <r>
    <d v="2025-11-13T00:00:00"/>
    <s v="Laundry"/>
    <n v="-10"/>
    <n v="10"/>
    <x v="2"/>
    <s v="Bilt World Elite Mastercard - Ending in 3895"/>
  </r>
  <r>
    <d v="2025-11-13T00:00:00"/>
    <s v="Dos Toros Taqueria"/>
    <n v="-5.5"/>
    <n v="5.5"/>
    <x v="3"/>
    <s v="Venture X - Ending in 3426"/>
  </r>
  <r>
    <d v="2025-11-13T00:00:00"/>
    <s v="Kartik Purnima Registration (US Ashram)"/>
    <n v="-30"/>
    <n v="30"/>
    <x v="4"/>
    <s v="Venture X - Ending in 3426"/>
  </r>
  <r>
    <d v="2025-11-14T00:00:00"/>
    <s v="Whole Foods Market"/>
    <n v="-26.33"/>
    <n v="26.33"/>
    <x v="5"/>
    <s v="Venture X - Ending in 3426"/>
  </r>
  <r>
    <d v="2025-11-14T00:00:00"/>
    <s v="Rose Pizza"/>
    <n v="-4.9000000000000004"/>
    <n v="4.9000000000000004"/>
    <x v="3"/>
    <s v="Venture X - Ending in 3426"/>
  </r>
  <r>
    <d v="2025-11-15T00:00:00"/>
    <s v="Rei"/>
    <n v="-432.4"/>
    <n v="52.399999999999977"/>
    <x v="1"/>
    <s v="Venture X - Ending in 3426"/>
  </r>
  <r>
    <d v="2025-11-15T00:00:00"/>
    <s v="Frio Gelato"/>
    <n v="-17.420000000000002"/>
    <n v="17.420000000000002"/>
    <x v="6"/>
    <s v="Venture X - Ending in 3426"/>
  </r>
  <r>
    <d v="2025-11-17T00:00:00"/>
    <s v="New Sheets"/>
    <n v="-61.74"/>
    <n v="61.74"/>
    <x v="1"/>
    <s v="Checking Account - Ending in 7017"/>
  </r>
  <r>
    <d v="2025-11-17T00:00:00"/>
    <s v="Google Cloud Storage"/>
    <n v="-1.99"/>
    <n v="1.99"/>
    <x v="1"/>
    <s v="Credit Card ( ) - Ending in 3240"/>
  </r>
  <r>
    <d v="2025-11-17T00:00:00"/>
    <s v="Rei"/>
    <n v="-274.36"/>
    <n v="274.36"/>
    <x v="7"/>
    <s v="Venture X - Ending in 3426"/>
  </r>
  <r>
    <d v="2025-11-17T00:00:00"/>
    <s v="Han Dynasty"/>
    <n v="-41.15"/>
    <n v="41.15"/>
    <x v="6"/>
    <s v="Venture X - Ending in 3426"/>
  </r>
  <r>
    <d v="2025-11-17T00:00:00"/>
    <s v="IDP"/>
    <n v="-99.99"/>
    <n v="99.99"/>
    <x v="1"/>
    <s v="Venture X - Ending in 3426"/>
  </r>
  <r>
    <d v="2025-11-18T00:00:00"/>
    <s v="Apple"/>
    <n v="-2.99"/>
    <n v="2.99"/>
    <x v="1"/>
    <s v="Credit Card - Ending in 7288"/>
  </r>
  <r>
    <d v="2025-11-18T00:00:00"/>
    <s v="Utilities"/>
    <n v="-104.02"/>
    <n v="104.02"/>
    <x v="2"/>
    <s v="Bilt World Elite Mastercard - Ending in 3895"/>
  </r>
  <r>
    <d v="2025-11-18T00:00:00"/>
    <s v="Whole Foods Market"/>
    <n v="-21.21"/>
    <n v="21.21"/>
    <x v="5"/>
    <s v="Venture X - Ending in 3426"/>
  </r>
  <r>
    <d v="2025-11-18T00:00:00"/>
    <s v="Trader Joe's"/>
    <n v="-56.02"/>
    <n v="56.02"/>
    <x v="5"/>
    <s v="Venture X - Ending in 3426"/>
  </r>
  <r>
    <d v="2025-11-18T00:00:00"/>
    <s v="Aroma"/>
    <n v="-11.97"/>
    <n v="11.97"/>
    <x v="1"/>
    <s v="Venture X - Ending in 3426"/>
  </r>
  <r>
    <d v="2025-11-18T00:00:00"/>
    <s v="Patel Brothers"/>
    <n v="-14.45"/>
    <n v="14.45"/>
    <x v="5"/>
    <s v="Venture X - Ending in 3426"/>
  </r>
  <r>
    <d v="2025-11-19T00:00:00"/>
    <s v="Amazon Marketplace"/>
    <n v="-10.88"/>
    <n v="10.88"/>
    <x v="7"/>
    <s v="Credit Card - Ending in 7288"/>
  </r>
  <r>
    <d v="2025-11-19T00:00:00"/>
    <s v="VENMO"/>
    <n v="-4.25"/>
    <n v="11"/>
    <x v="1"/>
    <s v="Venture X - Ending in 3426"/>
  </r>
  <r>
    <d v="2025-11-20T00:00:00"/>
    <s v="Key Food"/>
    <n v="-3.29"/>
    <n v="3.29"/>
    <x v="5"/>
    <s v="Venture X - Ending in 3426"/>
  </r>
  <r>
    <d v="2025-11-20T00:00:00"/>
    <s v="Dollar Toll Charge"/>
    <n v="-38.47"/>
    <n v="38.47"/>
    <x v="0"/>
    <s v="Venture X - Ending in 3426"/>
  </r>
  <r>
    <d v="2025-11-21T00:00:00"/>
    <s v="Barnes &amp; Noble"/>
    <n v="-31.03"/>
    <n v="31.03"/>
    <x v="1"/>
    <s v="Venture X - Ending in 3426"/>
  </r>
  <r>
    <d v="2025-11-22T00:00:00"/>
    <s v="Citi Bike"/>
    <n v="-7.92"/>
    <n v="7.92"/>
    <x v="8"/>
    <s v="Credit Card ( ) - Ending in 3240"/>
  </r>
  <r>
    <d v="2025-11-23T00:00:00"/>
    <s v="Taco Bell"/>
    <n v="-6.45"/>
    <n v="6.45"/>
    <x v="6"/>
    <s v="Bilt World Elite Mastercard - Ending in 3895"/>
  </r>
  <r>
    <d v="2025-11-25T00:00:00"/>
    <s v="Los Olivos"/>
    <n v="-16.59"/>
    <n v="16.59"/>
    <x v="6"/>
    <s v="Bilt World Elite Mastercard - Ending in 3895"/>
  </r>
  <r>
    <d v="2025-11-26T00:00:00"/>
    <s v="Spectrum"/>
    <n v="-30"/>
    <n v="30"/>
    <x v="2"/>
    <s v="Venture X - Ending in 3426"/>
  </r>
  <r>
    <d v="2025-11-28T00:00:00"/>
    <s v="Wilson Tennis Grips (Amazon)"/>
    <n v="-25.32"/>
    <n v="25.32"/>
    <x v="1"/>
    <s v="Credit Card - Ending in 7288"/>
  </r>
  <r>
    <d v="2025-11-28T00:00:00"/>
    <s v="NY Times Subscription"/>
    <n v="-3.99"/>
    <n v="3.99"/>
    <x v="1"/>
    <s v="Credit Card - Ending in 7288"/>
  </r>
  <r>
    <d v="2025-11-28T00:00:00"/>
    <s v="Priyank Splitiwise Balance"/>
    <n v="-13.83"/>
    <n v="13.83"/>
    <x v="6"/>
    <s v="Checking Account - Ending in 7017"/>
  </r>
  <r>
    <d v="2025-11-29T00:00:00"/>
    <s v="Blaze Pizza"/>
    <n v="-18.309999999999999"/>
    <n v="18.309999999999999"/>
    <x v="6"/>
    <s v="Bilt World Elite Mastercard - Ending in 3895"/>
  </r>
  <r>
    <d v="2025-11-29T00:00:00"/>
    <s v="Naked Cafe"/>
    <n v="-7.01"/>
    <n v="7.01"/>
    <x v="6"/>
    <s v="Bilt World Elite Mastercard - Ending in 389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d v="2025-12-01T00:00:00"/>
    <s v="Lyft"/>
    <s v="Lyft"/>
    <n v="-106.71"/>
    <n v="106.71"/>
    <x v="0"/>
    <s v="Credit Card ( ) - Ending in 3240"/>
  </r>
  <r>
    <d v="2025-12-01T00:00:00"/>
    <s v="Sp Flowstatecoffee Bondi Beach"/>
    <s v="Sp Flowstatecoffee Bondi Beach"/>
    <n v="-66"/>
    <n v="66"/>
    <x v="1"/>
    <s v="Credit Card - Ending in 7288"/>
  </r>
  <r>
    <d v="2025-12-01T00:00:00"/>
    <s v="Breakfast Club"/>
    <s v="Breakfast Club"/>
    <n v="-14.01"/>
    <n v="14.01"/>
    <x v="2"/>
    <s v="Bilt World Elite Mastercard - Ending in 3895"/>
  </r>
  <r>
    <d v="2025-12-01T00:00:00"/>
    <s v="Five Below"/>
    <s v="Five Below"/>
    <n v="-5.39"/>
    <n v="5.39"/>
    <x v="1"/>
    <s v="Venture X - Ending in 3426"/>
  </r>
  <r>
    <d v="2025-12-01T00:00:00"/>
    <s v="Dollar Tree"/>
    <s v="Dollar Tree"/>
    <n v="-3.23"/>
    <n v="3.23"/>
    <x v="1"/>
    <s v="Venture X - Ending in 3426"/>
  </r>
  <r>
    <d v="2025-12-01T00:00:00"/>
    <s v="Homegoods"/>
    <s v="Homegoods"/>
    <n v="-101.22"/>
    <n v="101.22"/>
    <x v="1"/>
    <s v="Venture X - Ending in 3426"/>
  </r>
  <r>
    <d v="2025-12-01T00:00:00"/>
    <s v="Tj Maxx"/>
    <s v="Tj Maxx"/>
    <n v="-40.28"/>
    <n v="40.28"/>
    <x v="3"/>
    <s v="Venture X - Ending in 3426"/>
  </r>
  <r>
    <d v="2025-12-01T00:00:00"/>
    <s v="Sunglass Hut"/>
    <s v="Solaris Q278"/>
    <n v="-184.04"/>
    <n v="184.04"/>
    <x v="3"/>
    <s v="Venture X - Ending in 3426"/>
  </r>
  <r>
    <d v="2025-12-01T00:00:00"/>
    <s v="Dollar Tree"/>
    <s v="Dollar Tree"/>
    <n v="-7.81"/>
    <n v="7.81"/>
    <x v="3"/>
    <s v="Venture X - Ending in 3426"/>
  </r>
  <r>
    <d v="2025-12-03T00:00:00"/>
    <s v="Rose Pizza"/>
    <s v="Rose Pizza"/>
    <n v="-5.71"/>
    <n v="5.71"/>
    <x v="2"/>
    <s v="Bilt World Elite Mastercard - Ending in 3895"/>
  </r>
  <r>
    <d v="2025-12-03T00:00:00"/>
    <s v="Made In New York New York Ny"/>
    <s v="Made In New York New York Ny"/>
    <n v="-4.53"/>
    <n v="4.53"/>
    <x v="2"/>
    <s v="Bilt World Elite Mastercard - Ending in 3895"/>
  </r>
  <r>
    <d v="2025-12-04T00:00:00"/>
    <s v="Chipotle Mexican Grill"/>
    <s v="Chipotle Mexican Grill"/>
    <n v="-12.36"/>
    <n v="12.36"/>
    <x v="2"/>
    <s v="Bilt World Elite Mastercard - Ending in 3895"/>
  </r>
  <r>
    <d v="2025-12-04T00:00:00"/>
    <s v="Whole Foods Market"/>
    <s v="Whole Foods Market"/>
    <n v="-22.79"/>
    <n v="22.79"/>
    <x v="4"/>
    <s v="Venture X - Ending in 3426"/>
  </r>
  <r>
    <d v="2025-12-04T00:00:00"/>
    <s v="Whole Foods Market"/>
    <s v="Whole Foods Market"/>
    <n v="-2.29"/>
    <n v="2.29"/>
    <x v="4"/>
    <s v="Venture X - Ending in 3426"/>
  </r>
  <r>
    <d v="2025-12-05T00:00:00"/>
    <s v="Amazon Digital Services"/>
    <s v="Amazon Digital Services"/>
    <n v="-34"/>
    <n v="34"/>
    <x v="5"/>
    <s v="Credit Card - Ending in 7288"/>
  </r>
  <r>
    <d v="2025-12-05T00:00:00"/>
    <s v="Amazon"/>
    <s v="Amazon"/>
    <n v="-30.47"/>
    <n v="30.47"/>
    <x v="6"/>
    <s v="Credit Card - Ending in 7288"/>
  </r>
  <r>
    <d v="2025-12-05T00:00:00"/>
    <s v="Target"/>
    <s v="Target"/>
    <n v="-15.9"/>
    <n v="15.9"/>
    <x v="4"/>
    <s v="Checking Account - Ending in 7017"/>
  </r>
  <r>
    <d v="2025-12-05T00:00:00"/>
    <s v="Trader Joe's"/>
    <s v="Trader Joe's"/>
    <n v="-20.62"/>
    <n v="20.62"/>
    <x v="4"/>
    <s v="Venture X - Ending in 3426"/>
  </r>
  <r>
    <d v="2025-12-05T00:00:00"/>
    <s v="New York Sports Clubs"/>
    <s v="New York Sports Clubs"/>
    <n v="-80.540000000000006"/>
    <n v="80.540000000000006"/>
    <x v="3"/>
    <s v="Venture X - Ending in 3426"/>
  </r>
  <r>
    <d v="2025-12-07T00:00:00"/>
    <s v="Apple"/>
    <s v="Apple"/>
    <n v="-9.99"/>
    <n v="9.99"/>
    <x v="3"/>
    <s v="Credit Card - Ending in 7288"/>
  </r>
  <r>
    <d v="2025-12-08T00:00:00"/>
    <s v="Amazon Marketplace"/>
    <s v="Amazon Marketplace"/>
    <n v="-29.37"/>
    <n v="29.37"/>
    <x v="6"/>
    <s v="Credit Card - Ending in 7288"/>
  </r>
  <r>
    <d v="2025-12-08T00:00:00"/>
    <s v="Peacefood Cafe"/>
    <s v="Peacefood Cafe"/>
    <n v="-50"/>
    <n v="15"/>
    <x v="2"/>
    <s v="Venture X - Ending in 3426"/>
  </r>
  <r>
    <d v="2025-12-09T00:00:00"/>
    <s v="Liberty Bagels Midtown"/>
    <s v="Liberty Bagels Midtown"/>
    <n v="-9.91"/>
    <n v="9.91"/>
    <x v="2"/>
    <s v="Credit Card ( ) - Ending in 3240"/>
  </r>
  <r>
    <d v="2025-12-09T00:00:00"/>
    <s v="Liberty Bagels Midtown New York Ny"/>
    <s v="Liberty Bagels Midtown New York Ny"/>
    <n v="-11.05"/>
    <n v="11.05"/>
    <x v="2"/>
    <s v="Bilt World Elite Mastercard - Ending in 3895"/>
  </r>
  <r>
    <d v="2025-12-09T00:00:00"/>
    <s v="Amazon Marketplace"/>
    <s v="Amazon Marketplace"/>
    <n v="-36.049999999999997"/>
    <n v="36.049999999999997"/>
    <x v="6"/>
    <s v="Credit Card - Ending in 7288"/>
  </r>
  <r>
    <d v="2025-12-09T00:00:00"/>
    <s v="Village Square Pizza"/>
    <s v="Village Square Pizza"/>
    <n v="-5.17"/>
    <n v="5.17"/>
    <x v="2"/>
    <s v="Venture X - Ending in 3426"/>
  </r>
  <r>
    <d v="2025-12-09T00:00:00"/>
    <s v="Canteen Vending Services"/>
    <s v="Canteen Vending Services"/>
    <n v="-1.55"/>
    <n v="1.55"/>
    <x v="2"/>
    <s v="Venture X - Ending in 3426"/>
  </r>
  <r>
    <d v="2025-12-10T00:00:00"/>
    <s v="Thai Food (Flatiron)"/>
    <s v="Time Out M* #id Xx1580 New York Ny"/>
    <n v="-14.81"/>
    <n v="14.81"/>
    <x v="6"/>
    <s v="Bilt World Elite Mastercard - Ending in 3895"/>
  </r>
  <r>
    <d v="2025-12-11T00:00:00"/>
    <s v="VENMO"/>
    <s v="Comewelcom"/>
    <n v="-5"/>
    <n v="5"/>
    <x v="3"/>
    <s v="Venture X - Ending in 3426"/>
  </r>
  <r>
    <d v="2025-12-11T00:00:00"/>
    <s v="Zen Ramen &amp; Sushi"/>
    <s v="Zen Ramen &amp; Sushi"/>
    <n v="-40.72"/>
    <n v="10.18"/>
    <x v="2"/>
    <s v="Venture X - Ending in 3426"/>
  </r>
  <r>
    <d v="2025-12-12T00:00:00"/>
    <s v="Cvs Pharmacy"/>
    <s v="Cvs Pharmacy"/>
    <n v="-17.66"/>
    <n v="17.66"/>
    <x v="3"/>
    <s v="Credit Card - Ending in 7288"/>
  </r>
  <r>
    <d v="2025-12-12T00:00:00"/>
    <s v="Cuisine Of India"/>
    <s v="Cuisine Of India"/>
    <n v="-34.549999999999997"/>
    <n v="34.549999999999997"/>
    <x v="2"/>
    <s v="Venture X - Ending in 3426"/>
  </r>
  <r>
    <d v="2025-12-15T00:00:00"/>
    <s v="Amazon"/>
    <s v="Amazon"/>
    <n v="-3.19"/>
    <n v="3.19"/>
    <x v="6"/>
    <s v="Credit Card - Ending in 7288"/>
  </r>
  <r>
    <d v="2025-12-15T00:00:00"/>
    <s v="Wawa"/>
    <s v="Wawa"/>
    <n v="-4.2300000000000004"/>
    <n v="4.2300000000000004"/>
    <x v="4"/>
    <s v="Venture X - Ending in 3426"/>
  </r>
  <r>
    <d v="2025-12-15T00:00:00"/>
    <s v="Wawa"/>
    <s v="Wawa"/>
    <n v="-4.2300000000000004"/>
    <n v="4.2300000000000004"/>
    <x v="4"/>
    <s v="Venture X - Ending in 3426"/>
  </r>
  <r>
    <d v="2025-12-15T00:00:00"/>
    <s v="Sak's Thai Cuisine"/>
    <s v="Sak's Thai Cuisine"/>
    <n v="-24.79"/>
    <n v="24.79"/>
    <x v="2"/>
    <s v="Venture X - Ending in 3426"/>
  </r>
  <r>
    <d v="2025-12-16T00:00:00"/>
    <s v="Marinara"/>
    <s v="Marinara"/>
    <n v="-4.1100000000000003"/>
    <n v="4.1100000000000003"/>
    <x v="4"/>
    <s v="Credit Card ( ) - Ending in 3240"/>
  </r>
  <r>
    <d v="2025-12-16T00:00:00"/>
    <s v="Marinara"/>
    <s v="Marinara"/>
    <n v="-5.0599999999999996"/>
    <n v="5.0599999999999996"/>
    <x v="4"/>
    <s v="Credit Card ( ) - Ending in 3240"/>
  </r>
  <r>
    <d v="2025-12-16T00:00:00"/>
    <s v="Cuisine Of India"/>
    <s v="Cuisine Of India"/>
    <n v="-16.23"/>
    <n v="16.23"/>
    <x v="2"/>
    <s v="Venture X - Ending in 3426"/>
  </r>
  <r>
    <d v="2025-12-17T00:00:00"/>
    <s v="Google Cloud Storage"/>
    <s v="Google Cloud Storage"/>
    <n v="-1.99"/>
    <n v="1.99"/>
    <x v="3"/>
    <s v="Credit Card ( ) - Ending in 3240"/>
  </r>
  <r>
    <d v="2025-12-18T00:00:00"/>
    <s v="Apple"/>
    <s v="Apple"/>
    <n v="-2.99"/>
    <n v="2.99"/>
    <x v="3"/>
    <s v="Credit Card - Ending in 7288"/>
  </r>
  <r>
    <d v="2025-12-18T00:00:00"/>
    <s v="Paris Baguette"/>
    <s v="Paris Baguette"/>
    <n v="-8.48"/>
    <n v="8.48"/>
    <x v="2"/>
    <s v="Credit Card ( ) - Ending in 3240"/>
  </r>
  <r>
    <d v="2025-12-18T00:00:00"/>
    <s v="Manhattan Valley Cuisine"/>
    <s v="Manhattan Valley Cuisine"/>
    <n v="-15.1"/>
    <n v="15.1"/>
    <x v="2"/>
    <s v="Venture X - Ending in 3426"/>
  </r>
  <r>
    <d v="2025-12-19T00:00:00"/>
    <s v="Broadway Bagel"/>
    <s v="Broadway Bagel"/>
    <n v="-8.11"/>
    <n v="8.11"/>
    <x v="2"/>
    <s v="Credit Card ( ) - Ending in 3240"/>
  </r>
  <r>
    <d v="2025-12-21T00:00:00"/>
    <s v="Payrange"/>
    <s v="Payrange"/>
    <n v="-10"/>
    <n v="10"/>
    <x v="7"/>
    <s v="Bilt World Elite Mastercard - Ending in 3895"/>
  </r>
  <r>
    <d v="2025-12-21T00:00:00"/>
    <s v="Kohl's"/>
    <s v="Kohl's"/>
    <n v="-73.48"/>
    <n v="73.48"/>
    <x v="6"/>
    <s v="Credit Card - Ending in 7288"/>
  </r>
  <r>
    <d v="2025-12-21T00:00:00"/>
    <s v="Amazon"/>
    <s v="Amazon"/>
    <n v="-6.38"/>
    <n v="6.38"/>
    <x v="6"/>
    <s v="Credit Card - Ending in 7288"/>
  </r>
  <r>
    <d v="2025-12-21T00:00:00"/>
    <s v="Allbirds"/>
    <s v="Allbirds"/>
    <n v="-35"/>
    <n v="35"/>
    <x v="3"/>
    <s v="Credit Card - Ending in 7288"/>
  </r>
  <r>
    <d v="2025-12-22T00:00:00"/>
    <s v="Amazon"/>
    <s v="Amazon"/>
    <n v="-7.48"/>
    <n v="7.48"/>
    <x v="6"/>
    <s v="Credit Card - Ending in 7288"/>
  </r>
  <r>
    <d v="2025-12-22T00:00:00"/>
    <s v="Fines Vic - Internet Melbourne"/>
    <s v="Fines Vic - Internet Melbourne"/>
    <n v="-168.33"/>
    <n v="86.685000000000002"/>
    <x v="8"/>
    <s v="Credit Card - Ending in 7288"/>
  </r>
  <r>
    <d v="2025-12-22T00:00:00"/>
    <s v="Utilities"/>
    <s v="Bps*bilt Rent New York Ny"/>
    <n v="-122.31"/>
    <n v="122.31"/>
    <x v="7"/>
    <s v="Bilt World Elite Mastercard - Ending in 3895"/>
  </r>
  <r>
    <d v="2025-12-23T00:00:00"/>
    <s v="Van Leeuwen Artisan Ice Cream"/>
    <s v="Van Leeuwen Artisan Ice Cream"/>
    <n v="-11.92"/>
    <n v="11.92"/>
    <x v="2"/>
    <s v="Credit Card ( ) - Ending in 3240"/>
  </r>
  <r>
    <d v="2025-12-23T00:00:00"/>
    <s v="Bps*bilt Rent New York Ny"/>
    <s v="Bps*bilt Rent New York Ny"/>
    <n v="-3250"/>
    <n v="3252.49"/>
    <x v="7"/>
    <s v="Bilt World Elite Mastercard - Ending in 3895"/>
  </r>
  <r>
    <d v="2025-12-23T00:00:00"/>
    <s v="Manhattan Valley Cuisine"/>
    <s v="Manhattan Valley Cuisine"/>
    <n v="-15.1"/>
    <n v="15.1"/>
    <x v="2"/>
    <s v="Venture X - Ending in 3426"/>
  </r>
  <r>
    <d v="2025-12-26T00:00:00"/>
    <s v="Sq *no Chewing Allowed!"/>
    <s v="Sq *no Chewing Allowed!"/>
    <n v="-18.010000000000002"/>
    <n v="18.010000000000002"/>
    <x v="2"/>
    <s v="Venture X - Ending in 3426"/>
  </r>
  <r>
    <d v="2025-12-26T00:00:00"/>
    <s v="Lyft"/>
    <s v="Lyft"/>
    <n v="-8"/>
    <n v="8"/>
    <x v="0"/>
    <s v="Venture X - Ending in 3426"/>
  </r>
  <r>
    <d v="2025-12-26T00:00:00"/>
    <s v="Spectrum"/>
    <s v="Spectrum"/>
    <n v="-30"/>
    <n v="30"/>
    <x v="7"/>
    <s v="Venture X - Ending in 3426"/>
  </r>
  <r>
    <d v="2025-12-27T00:00:00"/>
    <s v="Pocket Knife"/>
    <s v="Amazon Marketplace"/>
    <n v="-21.76"/>
    <n v="21.76"/>
    <x v="6"/>
    <s v="Credit Card - Ending in 7288"/>
  </r>
  <r>
    <d v="2025-12-28T00:00:00"/>
    <s v="Apple"/>
    <s v="Apple"/>
    <n v="-3.99"/>
    <n v="3.99"/>
    <x v="3"/>
    <s v="Credit Card - Ending in 72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C7E0A-4B88-CC49-8943-30812699E932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1:I9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18">
        <item m="1" x="11"/>
        <item m="1" x="9"/>
        <item m="1" x="8"/>
        <item x="4"/>
        <item m="1" x="12"/>
        <item m="1" x="15"/>
        <item m="1" x="13"/>
        <item m="1" x="7"/>
        <item m="1" x="14"/>
        <item m="1" x="10"/>
        <item n="Food" m="1" x="16"/>
        <item x="2"/>
        <item n="Food2" x="0"/>
        <item x="1"/>
        <item x="6"/>
        <item x="3"/>
        <item x="5"/>
        <item t="default"/>
      </items>
    </pivotField>
    <pivotField showAll="0"/>
  </pivotFields>
  <rowFields count="1">
    <field x="4"/>
  </rowFields>
  <rowItems count="8">
    <i>
      <x v="3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Total" fld="3" baseField="0" baseItem="0" numFmtId="44"/>
  </dataFields>
  <formats count="26">
    <format dxfId="291">
      <pivotArea type="all" dataOnly="0" outline="0" fieldPosition="0"/>
    </format>
    <format dxfId="290">
      <pivotArea outline="0" collapsedLevelsAreSubtotals="1" fieldPosition="0"/>
    </format>
    <format dxfId="289">
      <pivotArea field="4" type="button" dataOnly="0" labelOnly="1" outline="0" axis="axisRow" fieldPosition="0"/>
    </format>
    <format dxfId="288">
      <pivotArea dataOnly="0" labelOnly="1" fieldPosition="0">
        <references count="1">
          <reference field="4" count="0"/>
        </references>
      </pivotArea>
    </format>
    <format dxfId="287">
      <pivotArea dataOnly="0" labelOnly="1" grandRow="1" outline="0" fieldPosition="0"/>
    </format>
    <format dxfId="286">
      <pivotArea dataOnly="0" labelOnly="1" outline="0" axis="axisValues" fieldPosition="0"/>
    </format>
    <format dxfId="285">
      <pivotArea type="all" dataOnly="0" outline="0" fieldPosition="0"/>
    </format>
    <format dxfId="284">
      <pivotArea outline="0" collapsedLevelsAreSubtotals="1" fieldPosition="0"/>
    </format>
    <format dxfId="283">
      <pivotArea field="4" type="button" dataOnly="0" labelOnly="1" outline="0" axis="axisRow" fieldPosition="0"/>
    </format>
    <format dxfId="282">
      <pivotArea dataOnly="0" labelOnly="1" fieldPosition="0">
        <references count="1">
          <reference field="4" count="0"/>
        </references>
      </pivotArea>
    </format>
    <format dxfId="281">
      <pivotArea dataOnly="0" labelOnly="1" grandRow="1" outline="0" fieldPosition="0"/>
    </format>
    <format dxfId="280">
      <pivotArea dataOnly="0" labelOnly="1" outline="0" axis="axisValues" fieldPosition="0"/>
    </format>
    <format dxfId="279">
      <pivotArea type="all" dataOnly="0" outline="0" fieldPosition="0"/>
    </format>
    <format dxfId="278">
      <pivotArea outline="0" collapsedLevelsAreSubtotals="1" fieldPosition="0"/>
    </format>
    <format dxfId="277">
      <pivotArea field="4" type="button" dataOnly="0" labelOnly="1" outline="0" axis="axisRow" fieldPosition="0"/>
    </format>
    <format dxfId="276">
      <pivotArea dataOnly="0" labelOnly="1" fieldPosition="0">
        <references count="1">
          <reference field="4" count="0"/>
        </references>
      </pivotArea>
    </format>
    <format dxfId="275">
      <pivotArea dataOnly="0" labelOnly="1" grandRow="1" outline="0" fieldPosition="0"/>
    </format>
    <format dxfId="274">
      <pivotArea dataOnly="0" labelOnly="1" outline="0" axis="axisValues" fieldPosition="0"/>
    </format>
    <format dxfId="273">
      <pivotArea type="all" dataOnly="0" outline="0" fieldPosition="0"/>
    </format>
    <format dxfId="272">
      <pivotArea outline="0" collapsedLevelsAreSubtotals="1" fieldPosition="0"/>
    </format>
    <format dxfId="271">
      <pivotArea field="4" type="button" dataOnly="0" labelOnly="1" outline="0" axis="axisRow" fieldPosition="0"/>
    </format>
    <format dxfId="270">
      <pivotArea dataOnly="0" labelOnly="1" fieldPosition="0">
        <references count="1">
          <reference field="4" count="0"/>
        </references>
      </pivotArea>
    </format>
    <format dxfId="269">
      <pivotArea dataOnly="0" labelOnly="1" grandRow="1" outline="0" fieldPosition="0"/>
    </format>
    <format dxfId="268">
      <pivotArea dataOnly="0" labelOnly="1" outline="0" axis="axisValues" fieldPosition="0"/>
    </format>
    <format dxfId="267">
      <pivotArea grandRow="1" outline="0" collapsedLevelsAreSubtotals="1" fieldPosition="0"/>
    </format>
    <format dxfId="266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58C2D-14A3-0146-B116-C1BC34676320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2:I9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13">
        <item m="1" x="10"/>
        <item m="1" x="11"/>
        <item x="5"/>
        <item m="1" x="8"/>
        <item x="0"/>
        <item m="1" x="9"/>
        <item m="1" x="6"/>
        <item m="1" x="7"/>
        <item x="4"/>
        <item x="1"/>
        <item x="2"/>
        <item x="3"/>
        <item t="default"/>
      </items>
    </pivotField>
    <pivotField showAll="0"/>
  </pivotFields>
  <rowFields count="1">
    <field x="4"/>
  </rowFields>
  <rowItems count="7">
    <i>
      <x v="2"/>
    </i>
    <i>
      <x v="4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" fld="3" baseField="0" baseItem="0" numFmtId="44"/>
  </dataFields>
  <formats count="19">
    <format dxfId="255">
      <pivotArea type="all" dataOnly="0" outline="0" fieldPosition="0"/>
    </format>
    <format dxfId="254">
      <pivotArea outline="0" collapsedLevelsAreSubtotals="1" fieldPosition="0"/>
    </format>
    <format dxfId="253">
      <pivotArea field="4" type="button" dataOnly="0" labelOnly="1" outline="0" axis="axisRow" fieldPosition="0"/>
    </format>
    <format dxfId="252">
      <pivotArea dataOnly="0" labelOnly="1" fieldPosition="0">
        <references count="1">
          <reference field="4" count="0"/>
        </references>
      </pivotArea>
    </format>
    <format dxfId="251">
      <pivotArea dataOnly="0" labelOnly="1" grandRow="1" outline="0" fieldPosition="0"/>
    </format>
    <format dxfId="250">
      <pivotArea dataOnly="0" labelOnly="1" outline="0" axis="axisValues" fieldPosition="0"/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4" type="button" dataOnly="0" labelOnly="1" outline="0" axis="axisRow" fieldPosition="0"/>
    </format>
    <format dxfId="246">
      <pivotArea dataOnly="0" labelOnly="1" fieldPosition="0">
        <references count="1">
          <reference field="4" count="0"/>
        </references>
      </pivotArea>
    </format>
    <format dxfId="245">
      <pivotArea dataOnly="0" labelOnly="1" grandRow="1" outline="0" fieldPosition="0"/>
    </format>
    <format dxfId="244">
      <pivotArea dataOnly="0" labelOnly="1" outline="0" axis="axisValues" fieldPosition="0"/>
    </format>
    <format dxfId="243">
      <pivotArea type="all" dataOnly="0" outline="0" fieldPosition="0"/>
    </format>
    <format dxfId="242">
      <pivotArea outline="0" collapsedLevelsAreSubtotals="1" fieldPosition="0"/>
    </format>
    <format dxfId="241">
      <pivotArea field="4" type="button" dataOnly="0" labelOnly="1" outline="0" axis="axisRow" fieldPosition="0"/>
    </format>
    <format dxfId="240">
      <pivotArea dataOnly="0" labelOnly="1" fieldPosition="0">
        <references count="1">
          <reference field="4" count="0"/>
        </references>
      </pivotArea>
    </format>
    <format dxfId="239">
      <pivotArea dataOnly="0" labelOnly="1" grandRow="1" outline="0" fieldPosition="0"/>
    </format>
    <format dxfId="238">
      <pivotArea dataOnly="0" labelOnly="1" outline="0" axis="axisValues" fieldPosition="0"/>
    </format>
    <format dxfId="23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0E1CD5-3617-F34D-B900-3730B645B44A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 rowHeaderCaption="Category">
  <location ref="H2:I15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18">
        <item m="1" x="14"/>
        <item m="1" x="13"/>
        <item x="9"/>
        <item x="0"/>
        <item x="1"/>
        <item x="2"/>
        <item m="1" x="15"/>
        <item x="4"/>
        <item x="5"/>
        <item x="10"/>
        <item m="1" x="16"/>
        <item x="3"/>
        <item x="6"/>
        <item m="1" x="12"/>
        <item x="7"/>
        <item x="8"/>
        <item x="11"/>
        <item t="default"/>
      </items>
    </pivotField>
    <pivotField showAll="0"/>
  </pivotFields>
  <rowFields count="1">
    <field x="4"/>
  </rowFields>
  <rowItems count="13">
    <i>
      <x v="2"/>
    </i>
    <i>
      <x v="3"/>
    </i>
    <i>
      <x v="4"/>
    </i>
    <i>
      <x v="5"/>
    </i>
    <i>
      <x v="7"/>
    </i>
    <i>
      <x v="8"/>
    </i>
    <i>
      <x v="9"/>
    </i>
    <i>
      <x v="11"/>
    </i>
    <i>
      <x v="12"/>
    </i>
    <i>
      <x v="14"/>
    </i>
    <i>
      <x v="15"/>
    </i>
    <i>
      <x v="16"/>
    </i>
    <i t="grand">
      <x/>
    </i>
  </rowItems>
  <colItems count="1">
    <i/>
  </colItems>
  <dataFields count="1">
    <dataField name="Total" fld="3" baseField="0" baseItem="0" numFmtId="44"/>
  </dataFields>
  <formats count="19">
    <format dxfId="226">
      <pivotArea type="all" dataOnly="0" outline="0" fieldPosition="0"/>
    </format>
    <format dxfId="225">
      <pivotArea outline="0" collapsedLevelsAreSubtotals="1" fieldPosition="0"/>
    </format>
    <format dxfId="224">
      <pivotArea field="4" type="button" dataOnly="0" labelOnly="1" outline="0" axis="axisRow" fieldPosition="0"/>
    </format>
    <format dxfId="223">
      <pivotArea dataOnly="0" labelOnly="1" fieldPosition="0">
        <references count="1">
          <reference field="4" count="0"/>
        </references>
      </pivotArea>
    </format>
    <format dxfId="222">
      <pivotArea dataOnly="0" labelOnly="1" grandRow="1" outline="0" fieldPosition="0"/>
    </format>
    <format dxfId="221">
      <pivotArea dataOnly="0" labelOnly="1" outline="0" axis="axisValues" fieldPosition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4" type="button" dataOnly="0" labelOnly="1" outline="0" axis="axisRow" fieldPosition="0"/>
    </format>
    <format dxfId="217">
      <pivotArea dataOnly="0" labelOnly="1" fieldPosition="0">
        <references count="1">
          <reference field="4" count="0"/>
        </references>
      </pivotArea>
    </format>
    <format dxfId="216">
      <pivotArea dataOnly="0" labelOnly="1" grandRow="1" outline="0" fieldPosition="0"/>
    </format>
    <format dxfId="215">
      <pivotArea dataOnly="0" labelOnly="1" outline="0" axis="axisValues" fieldPosition="0"/>
    </format>
    <format dxfId="214">
      <pivotArea outline="0" collapsedLevelsAreSubtotals="1" fieldPosition="0"/>
    </format>
    <format dxfId="213">
      <pivotArea field="4" type="button" dataOnly="0" labelOnly="1" outline="0" axis="axisRow" fieldPosition="0"/>
    </format>
    <format dxfId="212">
      <pivotArea dataOnly="0" labelOnly="1" outline="0" axis="axisValues" fieldPosition="0"/>
    </format>
    <format dxfId="211">
      <pivotArea field="4" type="button" dataOnly="0" labelOnly="1" outline="0" axis="axisRow" fieldPosition="0"/>
    </format>
    <format dxfId="210">
      <pivotArea dataOnly="0" labelOnly="1" outline="0" axis="axisValues" fieldPosition="0"/>
    </format>
    <format dxfId="209">
      <pivotArea dataOnly="0" labelOnly="1" grandRow="1" outline="0" fieldPosition="0"/>
    </format>
    <format dxfId="208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67567-3942-1748-BF10-41844A9E1D1C}" name="PivotTable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H2:I9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19">
        <item m="1" x="13"/>
        <item m="1" x="17"/>
        <item m="1" x="12"/>
        <item m="1" x="8"/>
        <item m="1" x="10"/>
        <item x="2"/>
        <item m="1" x="11"/>
        <item m="1" x="9"/>
        <item m="1" x="7"/>
        <item m="1" x="14"/>
        <item m="1" x="6"/>
        <item m="1" x="16"/>
        <item n="Food" m="1" x="15"/>
        <item x="0"/>
        <item x="1"/>
        <item x="3"/>
        <item n="Food2" x="4"/>
        <item x="5"/>
        <item t="default"/>
      </items>
    </pivotField>
    <pivotField showAll="0"/>
  </pivotFields>
  <rowFields count="1">
    <field x="4"/>
  </rowFields>
  <rowItems count="7">
    <i>
      <x v="5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Amount2" fld="3" baseField="0" baseItem="0" numFmtId="44"/>
  </dataFields>
  <formats count="1">
    <format dxfId="19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99340-52E8-8A46-8E8A-38D5D28785A4}" name="PivotTable1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1:I8" firstHeaderRow="1" firstDataRow="1" firstDataCol="1"/>
  <pivotFields count="6">
    <pivotField numFmtId="14" showAll="0"/>
    <pivotField showAll="0"/>
    <pivotField showAll="0"/>
    <pivotField dataField="1" numFmtId="44" showAll="0"/>
    <pivotField axis="axisRow" showAll="0">
      <items count="20">
        <item m="1" x="17"/>
        <item m="1" x="16"/>
        <item m="1" x="12"/>
        <item n="Personal" m="1" x="18"/>
        <item m="1" x="7"/>
        <item x="3"/>
        <item m="1" x="10"/>
        <item m="1" x="8"/>
        <item m="1" x="9"/>
        <item m="1" x="14"/>
        <item m="1" x="11"/>
        <item x="5"/>
        <item n="Food" x="1"/>
        <item m="1" x="13"/>
        <item m="1" x="15"/>
        <item x="2"/>
        <item n="Restaurants2" m="1" x="6"/>
        <item n="Personal2" x="0"/>
        <item x="4"/>
        <item t="default"/>
      </items>
    </pivotField>
    <pivotField showAll="0"/>
  </pivotFields>
  <rowFields count="1">
    <field x="4"/>
  </rowFields>
  <rowItems count="7">
    <i>
      <x v="5"/>
    </i>
    <i>
      <x v="11"/>
    </i>
    <i>
      <x v="12"/>
    </i>
    <i>
      <x v="15"/>
    </i>
    <i>
      <x v="17"/>
    </i>
    <i>
      <x v="18"/>
    </i>
    <i t="grand">
      <x/>
    </i>
  </rowItems>
  <colItems count="1">
    <i/>
  </colItems>
  <dataFields count="1">
    <dataField name="Total" fld="3" baseField="0" baseItem="0" numFmtId="44"/>
  </dataFields>
  <formats count="29">
    <format dxfId="186">
      <pivotArea type="all" dataOnly="0" outline="0" fieldPosition="0"/>
    </format>
    <format dxfId="185">
      <pivotArea outline="0" collapsedLevelsAreSubtotals="1" fieldPosition="0"/>
    </format>
    <format dxfId="184">
      <pivotArea field="4" type="button" dataOnly="0" labelOnly="1" outline="0" axis="axisRow" fieldPosition="0"/>
    </format>
    <format dxfId="183">
      <pivotArea dataOnly="0" labelOnly="1" fieldPosition="0">
        <references count="1">
          <reference field="4" count="0"/>
        </references>
      </pivotArea>
    </format>
    <format dxfId="182">
      <pivotArea dataOnly="0" labelOnly="1" grandRow="1" outline="0" fieldPosition="0"/>
    </format>
    <format dxfId="181">
      <pivotArea dataOnly="0" labelOnly="1" outline="0" axis="axisValues" fieldPosition="0"/>
    </format>
    <format dxfId="180">
      <pivotArea type="all" dataOnly="0" outline="0" fieldPosition="0"/>
    </format>
    <format dxfId="179">
      <pivotArea outline="0" collapsedLevelsAreSubtotals="1" fieldPosition="0"/>
    </format>
    <format dxfId="178">
      <pivotArea field="4" type="button" dataOnly="0" labelOnly="1" outline="0" axis="axisRow" fieldPosition="0"/>
    </format>
    <format dxfId="177">
      <pivotArea dataOnly="0" labelOnly="1" fieldPosition="0">
        <references count="1">
          <reference field="4" count="0"/>
        </references>
      </pivotArea>
    </format>
    <format dxfId="176">
      <pivotArea dataOnly="0" labelOnly="1" grandRow="1" outline="0" fieldPosition="0"/>
    </format>
    <format dxfId="175">
      <pivotArea dataOnly="0" labelOnly="1" outline="0" axis="axisValues" fieldPosition="0"/>
    </format>
    <format dxfId="174">
      <pivotArea field="4" type="button" dataOnly="0" labelOnly="1" outline="0" axis="axisRow" fieldPosition="0"/>
    </format>
    <format dxfId="173">
      <pivotArea dataOnly="0" labelOnly="1" outline="0" axis="axisValues" fieldPosition="0"/>
    </format>
    <format dxfId="172">
      <pivotArea grandRow="1" outline="0" collapsedLevelsAreSubtotals="1" fieldPosition="0"/>
    </format>
    <format dxfId="171">
      <pivotArea dataOnly="0" labelOnly="1" grandRow="1" outline="0" fieldPosition="0"/>
    </format>
    <format dxfId="170">
      <pivotArea grandRow="1" outline="0" collapsedLevelsAreSubtotals="1" fieldPosition="0"/>
    </format>
    <format dxfId="169">
      <pivotArea type="all" dataOnly="0" outline="0" fieldPosition="0"/>
    </format>
    <format dxfId="168">
      <pivotArea outline="0" collapsedLevelsAreSubtotals="1" fieldPosition="0"/>
    </format>
    <format dxfId="167">
      <pivotArea field="4" type="button" dataOnly="0" labelOnly="1" outline="0" axis="axisRow" fieldPosition="0"/>
    </format>
    <format dxfId="166">
      <pivotArea dataOnly="0" labelOnly="1" fieldPosition="0">
        <references count="1">
          <reference field="4" count="0"/>
        </references>
      </pivotArea>
    </format>
    <format dxfId="165">
      <pivotArea dataOnly="0" labelOnly="1" grandRow="1" outline="0" fieldPosition="0"/>
    </format>
    <format dxfId="164">
      <pivotArea dataOnly="0" labelOnly="1" outline="0" axis="axisValues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4" type="button" dataOnly="0" labelOnly="1" outline="0" axis="axisRow" fieldPosition="0"/>
    </format>
    <format dxfId="160">
      <pivotArea dataOnly="0" labelOnly="1" fieldPosition="0">
        <references count="1">
          <reference field="4" count="0"/>
        </references>
      </pivotArea>
    </format>
    <format dxfId="159">
      <pivotArea dataOnly="0" labelOnly="1" grandRow="1" outline="0" fieldPosition="0"/>
    </format>
    <format dxfId="15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7611B-CEA5-6E4D-8759-3046D806A66C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2:I9" firstHeaderRow="1" firstDataRow="1" firstDataCol="1"/>
  <pivotFields count="6">
    <pivotField numFmtId="14" showAll="0"/>
    <pivotField showAll="0"/>
    <pivotField showAll="0"/>
    <pivotField dataField="1" numFmtId="44" showAll="0"/>
    <pivotField axis="axisRow" showAll="0">
      <items count="14">
        <item m="1" x="8"/>
        <item m="1" x="12"/>
        <item m="1" x="7"/>
        <item x="2"/>
        <item m="1" x="10"/>
        <item m="1" x="9"/>
        <item x="3"/>
        <item m="1" x="11"/>
        <item x="5"/>
        <item m="1" x="6"/>
        <item x="0"/>
        <item x="4"/>
        <item x="1"/>
        <item t="default"/>
      </items>
    </pivotField>
    <pivotField showAll="0"/>
  </pivotFields>
  <rowFields count="1">
    <field x="4"/>
  </rowFields>
  <rowItems count="7">
    <i>
      <x v="3"/>
    </i>
    <i>
      <x v="6"/>
    </i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total" fld="3" baseField="0" baseItem="0" numFmtId="44"/>
  </dataFields>
  <formats count="8"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4" type="button" dataOnly="0" labelOnly="1" outline="0" axis="axisRow" fieldPosition="0"/>
    </format>
    <format dxfId="154">
      <pivotArea dataOnly="0" labelOnly="1" fieldPosition="0">
        <references count="1">
          <reference field="4" count="0"/>
        </references>
      </pivotArea>
    </format>
    <format dxfId="153">
      <pivotArea dataOnly="0" labelOnly="1" grandRow="1" outline="0" fieldPosition="0"/>
    </format>
    <format dxfId="152">
      <pivotArea dataOnly="0" labelOnly="1" outline="0" axis="axisValues" fieldPosition="0"/>
    </format>
    <format dxfId="151">
      <pivotArea dataOnly="0" labelOnly="1" outline="0" axis="axisValues" fieldPosition="0"/>
    </format>
    <format dxfId="15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1E59E-0BA3-7B46-A111-FCC59537982E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1:I9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22">
        <item m="1" x="16"/>
        <item m="1" x="19"/>
        <item m="1" x="18"/>
        <item x="0"/>
        <item m="1" x="13"/>
        <item x="1"/>
        <item m="1" x="17"/>
        <item m="1" x="11"/>
        <item m="1" x="10"/>
        <item m="1" x="12"/>
        <item m="1" x="20"/>
        <item x="5"/>
        <item m="1" x="8"/>
        <item m="1" x="14"/>
        <item m="1" x="9"/>
        <item x="2"/>
        <item x="6"/>
        <item m="1" x="15"/>
        <item x="3"/>
        <item m="1" x="7"/>
        <item x="4"/>
        <item t="default"/>
      </items>
    </pivotField>
    <pivotField showAll="0"/>
  </pivotFields>
  <rowFields count="1">
    <field x="4"/>
  </rowFields>
  <rowItems count="8">
    <i>
      <x v="3"/>
    </i>
    <i>
      <x v="5"/>
    </i>
    <i>
      <x v="11"/>
    </i>
    <i>
      <x v="15"/>
    </i>
    <i>
      <x v="16"/>
    </i>
    <i>
      <x v="18"/>
    </i>
    <i>
      <x v="20"/>
    </i>
    <i t="grand">
      <x/>
    </i>
  </rowItems>
  <colItems count="1">
    <i/>
  </colItems>
  <dataFields count="1">
    <dataField name="Total" fld="3" baseField="0" baseItem="0" numFmtId="44"/>
  </dataFields>
  <formats count="25"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4" type="button" dataOnly="0" labelOnly="1" outline="0" axis="axisRow" fieldPosition="0"/>
    </format>
    <format dxfId="136">
      <pivotArea dataOnly="0" labelOnly="1" fieldPosition="0">
        <references count="1">
          <reference field="4" count="0"/>
        </references>
      </pivotArea>
    </format>
    <format dxfId="135">
      <pivotArea dataOnly="0" labelOnly="1" grandRow="1" outline="0" fieldPosition="0"/>
    </format>
    <format dxfId="134">
      <pivotArea dataOnly="0" labelOnly="1" outline="0" axis="axisValues" fieldPosition="0"/>
    </format>
    <format dxfId="133">
      <pivotArea type="all" dataOnly="0" outline="0" fieldPosition="0"/>
    </format>
    <format dxfId="132">
      <pivotArea outline="0" collapsedLevelsAreSubtotals="1" fieldPosition="0"/>
    </format>
    <format dxfId="131">
      <pivotArea field="4" type="button" dataOnly="0" labelOnly="1" outline="0" axis="axisRow" fieldPosition="0"/>
    </format>
    <format dxfId="130">
      <pivotArea dataOnly="0" labelOnly="1" fieldPosition="0">
        <references count="1">
          <reference field="4" count="0"/>
        </references>
      </pivotArea>
    </format>
    <format dxfId="129">
      <pivotArea dataOnly="0" labelOnly="1" grandRow="1" outline="0" fieldPosition="0"/>
    </format>
    <format dxfId="128">
      <pivotArea dataOnly="0" labelOnly="1" outline="0" axis="axisValues" fieldPosition="0"/>
    </format>
    <format dxfId="127">
      <pivotArea field="4" type="button" dataOnly="0" labelOnly="1" outline="0" axis="axisRow" fieldPosition="0"/>
    </format>
    <format dxfId="126">
      <pivotArea dataOnly="0" labelOnly="1" outline="0" axis="axisValues" fieldPosition="0"/>
    </format>
    <format dxfId="125">
      <pivotArea field="4" type="button" dataOnly="0" labelOnly="1" outline="0" axis="axisRow" fieldPosition="0"/>
    </format>
    <format dxfId="124">
      <pivotArea dataOnly="0" labelOnly="1" outline="0" axis="axisValues" fieldPosition="0"/>
    </format>
    <format dxfId="123">
      <pivotArea grandRow="1" outline="0" collapsedLevelsAreSubtotals="1" fieldPosition="0"/>
    </format>
    <format dxfId="122">
      <pivotArea dataOnly="0" labelOnly="1" grandRow="1" outline="0" fieldPosition="0"/>
    </format>
    <format dxfId="121">
      <pivotArea grandRow="1" outline="0" collapsedLevelsAreSubtotals="1" fieldPosition="0"/>
    </format>
    <format dxfId="120">
      <pivotArea dataOnly="0" labelOnly="1" grandRow="1" outline="0" fieldPosition="0"/>
    </format>
    <format dxfId="119">
      <pivotArea outline="0" collapsedLevelsAreSubtotals="1" fieldPosition="0"/>
    </format>
    <format dxfId="118">
      <pivotArea outline="0" collapsedLevelsAreSubtotals="1" fieldPosition="0"/>
    </format>
    <format dxfId="117">
      <pivotArea dataOnly="0" labelOnly="1" fieldPosition="0">
        <references count="1">
          <reference field="4" count="0"/>
        </references>
      </pivotArea>
    </format>
    <format dxfId="116">
      <pivotArea dataOnly="0" labelOnly="1" grandRow="1" outline="0" fieldPosition="0"/>
    </format>
    <format dxfId="11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8F0E7-B439-514B-B9F7-0B8CCCDD57CE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2:I11" firstHeaderRow="1" firstDataRow="1" firstDataCol="1"/>
  <pivotFields count="6">
    <pivotField numFmtId="14" showAll="0"/>
    <pivotField showAll="0"/>
    <pivotField showAll="0"/>
    <pivotField dataField="1" numFmtId="44" showAll="0"/>
    <pivotField axis="axisRow" showAll="0">
      <items count="15">
        <item m="1" x="10"/>
        <item m="1" x="11"/>
        <item x="0"/>
        <item x="1"/>
        <item m="1" x="12"/>
        <item x="7"/>
        <item m="1" x="8"/>
        <item x="3"/>
        <item m="1" x="9"/>
        <item x="2"/>
        <item m="1" x="13"/>
        <item x="5"/>
        <item x="4"/>
        <item x="6"/>
        <item t="default"/>
      </items>
    </pivotField>
    <pivotField showAll="0"/>
  </pivotFields>
  <rowFields count="1">
    <field x="4"/>
  </rowFields>
  <rowItems count="9">
    <i>
      <x v="2"/>
    </i>
    <i>
      <x v="3"/>
    </i>
    <i>
      <x v="5"/>
    </i>
    <i>
      <x v="7"/>
    </i>
    <i>
      <x v="9"/>
    </i>
    <i>
      <x v="11"/>
    </i>
    <i>
      <x v="12"/>
    </i>
    <i>
      <x v="13"/>
    </i>
    <i t="grand">
      <x/>
    </i>
  </rowItems>
  <colItems count="1">
    <i/>
  </colItems>
  <dataFields count="1">
    <dataField name="Total" fld="3" baseField="0" baseItem="0" numFmtId="44"/>
  </dataFields>
  <formats count="12">
    <format dxfId="104">
      <pivotArea type="all" dataOnly="0" outline="0" fieldPosition="0"/>
    </format>
    <format dxfId="103">
      <pivotArea outline="0" collapsedLevelsAreSubtotals="1" fieldPosition="0"/>
    </format>
    <format dxfId="102">
      <pivotArea field="4" type="button" dataOnly="0" labelOnly="1" outline="0" axis="axisRow" fieldPosition="0"/>
    </format>
    <format dxfId="101">
      <pivotArea dataOnly="0" labelOnly="1" fieldPosition="0">
        <references count="1">
          <reference field="4" count="0"/>
        </references>
      </pivotArea>
    </format>
    <format dxfId="100">
      <pivotArea dataOnly="0" labelOnly="1" grandRow="1" outline="0" fieldPosition="0"/>
    </format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4" type="button" dataOnly="0" labelOnly="1" outline="0" axis="axisRow" fieldPosition="0"/>
    </format>
    <format dxfId="95">
      <pivotArea dataOnly="0" labelOnly="1" fieldPosition="0">
        <references count="1">
          <reference field="4" count="0"/>
        </references>
      </pivotArea>
    </format>
    <format dxfId="94">
      <pivotArea dataOnly="0" labelOnly="1" grandRow="1" outline="0" fieldPosition="0"/>
    </format>
    <format dxfId="9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DBEB6-5750-984D-96B4-5223E349D8C7}" name="PivotTable2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1:I7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10">
        <item x="4"/>
        <item m="1" x="7"/>
        <item m="1" x="5"/>
        <item x="2"/>
        <item x="0"/>
        <item x="1"/>
        <item x="3"/>
        <item m="1" x="6"/>
        <item m="1" x="8"/>
        <item t="default"/>
      </items>
    </pivotField>
    <pivotField showAll="0"/>
  </pivotFields>
  <rowFields count="1">
    <field x="4"/>
  </rowFields>
  <rowItems count="6">
    <i>
      <x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" fld="3" baseField="0" baseItem="0" numFmtId="44"/>
  </dataFields>
  <formats count="30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4" type="button" dataOnly="0" labelOnly="1" outline="0" axis="axisRow" fieldPosition="0"/>
    </format>
    <format dxfId="79">
      <pivotArea dataOnly="0" labelOnly="1" fieldPosition="0">
        <references count="1">
          <reference field="4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4" type="button" dataOnly="0" labelOnly="1" outline="0" axis="axisRow" fieldPosition="0"/>
    </format>
    <format dxfId="73">
      <pivotArea dataOnly="0" labelOnly="1" fieldPosition="0">
        <references count="1">
          <reference field="4" count="0"/>
        </references>
      </pivotArea>
    </format>
    <format dxfId="72">
      <pivotArea dataOnly="0" labelOnly="1" grandRow="1" outline="0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field="4" type="button" dataOnly="0" labelOnly="1" outline="0" axis="axisRow" fieldPosition="0"/>
    </format>
    <format dxfId="67">
      <pivotArea dataOnly="0" labelOnly="1" fieldPosition="0">
        <references count="1">
          <reference field="4" count="0"/>
        </references>
      </pivotArea>
    </format>
    <format dxfId="66">
      <pivotArea dataOnly="0" labelOnly="1" grandRow="1" outline="0" fieldPosition="0"/>
    </format>
    <format dxfId="65">
      <pivotArea dataOnly="0" labelOnly="1" outline="0" axis="axisValues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4" type="button" dataOnly="0" labelOnly="1" outline="0" axis="axisRow" fieldPosition="0"/>
    </format>
    <format dxfId="61">
      <pivotArea dataOnly="0" labelOnly="1" fieldPosition="0">
        <references count="1">
          <reference field="4" count="0"/>
        </references>
      </pivotArea>
    </format>
    <format dxfId="60">
      <pivotArea dataOnly="0" labelOnly="1" grandRow="1" outline="0" fieldPosition="0"/>
    </format>
    <format dxfId="59">
      <pivotArea dataOnly="0" labelOnly="1" outline="0" axis="axisValues" fieldPosition="0"/>
    </format>
    <format dxfId="58">
      <pivotArea field="4" type="button" dataOnly="0" labelOnly="1" outline="0" axis="axisRow" fieldPosition="0"/>
    </format>
    <format dxfId="57">
      <pivotArea dataOnly="0" labelOnly="1" outline="0" axis="axisValues" fieldPosition="0"/>
    </format>
    <format dxfId="56">
      <pivotArea grandRow="1" outline="0" collapsedLevelsAreSubtotals="1" fieldPosition="0"/>
    </format>
    <format dxfId="55">
      <pivotArea dataOnly="0" labelOnly="1" grandRow="1" outline="0" fieldPosition="0"/>
    </format>
    <format dxfId="54">
      <pivotArea grandRow="1" outline="0" collapsedLevelsAreSubtotals="1" fieldPosition="0"/>
    </format>
    <format dxfId="5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636C7-7980-C347-A116-53487C351C01}" name="PivotTable5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H1:I11" firstHeaderRow="1" firstDataRow="1" firstDataCol="1"/>
  <pivotFields count="6">
    <pivotField numFmtId="14" showAll="0"/>
    <pivotField showAll="0"/>
    <pivotField showAll="0"/>
    <pivotField dataField="1" showAll="0"/>
    <pivotField axis="axisRow" showAll="0">
      <items count="26">
        <item m="1" x="15"/>
        <item m="1" x="22"/>
        <item m="1" x="21"/>
        <item m="1" x="13"/>
        <item m="1" x="12"/>
        <item m="1" x="23"/>
        <item m="1" x="11"/>
        <item x="4"/>
        <item m="1" x="19"/>
        <item x="7"/>
        <item x="5"/>
        <item m="1" x="16"/>
        <item m="1" x="10"/>
        <item m="1" x="17"/>
        <item m="1" x="14"/>
        <item m="1" x="20"/>
        <item x="2"/>
        <item x="3"/>
        <item m="1" x="18"/>
        <item m="1" x="24"/>
        <item m="1" x="9"/>
        <item x="8"/>
        <item x="0"/>
        <item x="6"/>
        <item x="1"/>
        <item t="default"/>
      </items>
    </pivotField>
    <pivotField showAll="0"/>
  </pivotFields>
  <rowFields count="1">
    <field x="4"/>
  </rowFields>
  <rowItems count="10">
    <i>
      <x v="7"/>
    </i>
    <i>
      <x v="9"/>
    </i>
    <i>
      <x v="10"/>
    </i>
    <i>
      <x v="16"/>
    </i>
    <i>
      <x v="17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Total" fld="3" baseField="0" baseItem="0" numFmtId="44"/>
  </dataFields>
  <formats count="25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4" type="button" dataOnly="0" labelOnly="1" outline="0" axis="axisRow" fieldPosition="0"/>
    </format>
    <format dxfId="39">
      <pivotArea dataOnly="0" labelOnly="1" fieldPosition="0">
        <references count="1">
          <reference field="4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4" type="button" dataOnly="0" labelOnly="1" outline="0" axis="axisRow" fieldPosition="0"/>
    </format>
    <format dxfId="33">
      <pivotArea dataOnly="0" labelOnly="1" fieldPosition="0">
        <references count="1">
          <reference field="4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4" type="button" dataOnly="0" labelOnly="1" outline="0" axis="axisRow" fieldPosition="0"/>
    </format>
    <format dxfId="21">
      <pivotArea dataOnly="0" labelOnly="1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064B2-EB7A-354F-9791-3F368F876CFB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I1:J11" firstHeaderRow="1" firstDataRow="1" firstDataCol="1"/>
  <pivotFields count="7">
    <pivotField numFmtId="14" showAll="0"/>
    <pivotField showAll="0"/>
    <pivotField showAll="0"/>
    <pivotField showAll="0"/>
    <pivotField dataField="1" showAll="0"/>
    <pivotField axis="axisRow" showAll="0">
      <items count="27">
        <item m="1" x="11"/>
        <item m="1" x="14"/>
        <item m="1" x="22"/>
        <item m="1" x="9"/>
        <item x="5"/>
        <item m="1" x="13"/>
        <item x="4"/>
        <item m="1" x="16"/>
        <item m="1" x="15"/>
        <item m="1" x="21"/>
        <item m="1" x="12"/>
        <item m="1" x="18"/>
        <item m="1" x="19"/>
        <item m="1" x="20"/>
        <item x="7"/>
        <item m="1" x="17"/>
        <item m="1" x="24"/>
        <item m="1" x="23"/>
        <item m="1" x="25"/>
        <item m="1" x="10"/>
        <item x="0"/>
        <item x="3"/>
        <item x="2"/>
        <item x="6"/>
        <item x="1"/>
        <item x="8"/>
        <item t="default"/>
      </items>
    </pivotField>
    <pivotField showAll="0"/>
  </pivotFields>
  <rowFields count="1">
    <field x="5"/>
  </rowFields>
  <rowItems count="10">
    <i>
      <x v="4"/>
    </i>
    <i>
      <x v="6"/>
    </i>
    <i>
      <x v="14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Total" fld="4" baseField="0" baseItem="0" numFmtId="44"/>
  </dataFields>
  <formats count="17">
    <format dxfId="320">
      <pivotArea type="all" dataOnly="0" outline="0" fieldPosition="0"/>
    </format>
    <format dxfId="319">
      <pivotArea outline="0" collapsedLevelsAreSubtotals="1" fieldPosition="0"/>
    </format>
    <format dxfId="318">
      <pivotArea field="5" type="button" dataOnly="0" labelOnly="1" outline="0" axis="axisRow" fieldPosition="0"/>
    </format>
    <format dxfId="317">
      <pivotArea dataOnly="0" labelOnly="1" fieldPosition="0">
        <references count="1">
          <reference field="5" count="0"/>
        </references>
      </pivotArea>
    </format>
    <format dxfId="316">
      <pivotArea dataOnly="0" labelOnly="1" grandRow="1" outline="0" fieldPosition="0"/>
    </format>
    <format dxfId="315">
      <pivotArea dataOnly="0" labelOnly="1" outline="0" axis="axisValues" fieldPosition="0"/>
    </format>
    <format dxfId="314">
      <pivotArea type="all" dataOnly="0" outline="0" fieldPosition="0"/>
    </format>
    <format dxfId="313">
      <pivotArea outline="0" collapsedLevelsAreSubtotals="1" fieldPosition="0"/>
    </format>
    <format dxfId="312">
      <pivotArea field="5" type="button" dataOnly="0" labelOnly="1" outline="0" axis="axisRow" fieldPosition="0"/>
    </format>
    <format dxfId="311">
      <pivotArea dataOnly="0" labelOnly="1" fieldPosition="0">
        <references count="1">
          <reference field="5" count="0"/>
        </references>
      </pivotArea>
    </format>
    <format dxfId="310">
      <pivotArea dataOnly="0" labelOnly="1" grandRow="1" outline="0" fieldPosition="0"/>
    </format>
    <format dxfId="309">
      <pivotArea dataOnly="0" labelOnly="1" outline="0" axis="axisValues" fieldPosition="0"/>
    </format>
    <format dxfId="308">
      <pivotArea field="5" type="button" dataOnly="0" labelOnly="1" outline="0" axis="axisRow" fieldPosition="0"/>
    </format>
    <format dxfId="307">
      <pivotArea dataOnly="0" labelOnly="1" outline="0" axis="axisValues" fieldPosition="0"/>
    </format>
    <format dxfId="306">
      <pivotArea grandRow="1" outline="0" collapsedLevelsAreSubtotals="1" fieldPosition="0"/>
    </format>
    <format dxfId="305">
      <pivotArea dataOnly="0" labelOnly="1" grandRow="1" outline="0" fieldPosition="0"/>
    </format>
    <format dxfId="304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C339BF-DC77-B241-8A16-56FBEBAE7C5C}" name="Jan_25" displayName="Jan_25" ref="A1:F52" totalsRowShown="0" headerRowDxfId="265" dataDxfId="263" headerRowBorderDxfId="264" tableBorderDxfId="262">
  <autoFilter ref="A1:F52" xr:uid="{AFC339BF-DC77-B241-8A16-56FBEBAE7C5C}"/>
  <sortState xmlns:xlrd2="http://schemas.microsoft.com/office/spreadsheetml/2017/richdata2" ref="A2:F52">
    <sortCondition ref="A1:A52"/>
  </sortState>
  <tableColumns count="6">
    <tableColumn id="1" xr3:uid="{93A35C7C-0FA5-A041-8994-7CA1B8142FF7}" name="Date" dataDxfId="261"/>
    <tableColumn id="2" xr3:uid="{24E7F927-54C9-B048-8E03-BE45881E0ABF}" name="Description" dataDxfId="260"/>
    <tableColumn id="3" xr3:uid="{22792F20-A993-3049-A9B5-95FEBD0DD610}" name="Amount" dataDxfId="259"/>
    <tableColumn id="4" xr3:uid="{C4E02F8E-3105-9444-AEAD-AD6CA1018895}" name="Amount2" dataDxfId="258">
      <calculatedColumnFormula>-C2</calculatedColumnFormula>
    </tableColumn>
    <tableColumn id="5" xr3:uid="{1CFFA8F4-E379-D647-896D-D5C8E172D95D}" name="Category" dataDxfId="257"/>
    <tableColumn id="6" xr3:uid="{CF562037-5337-C740-B3AF-753617D989B0}" name="Card" dataDxfId="25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AB81A-AEC3-AB46-B0AE-227427A306DF}" name="Feb_25" displayName="Feb_25" ref="A1:F53" totalsRowShown="0" headerRowDxfId="236" dataDxfId="234" headerRowBorderDxfId="235" tableBorderDxfId="233">
  <autoFilter ref="A1:F53" xr:uid="{DA2AB81A-AEC3-AB46-B0AE-227427A306DF}"/>
  <sortState xmlns:xlrd2="http://schemas.microsoft.com/office/spreadsheetml/2017/richdata2" ref="A2:F53">
    <sortCondition ref="A1:A53"/>
  </sortState>
  <tableColumns count="6">
    <tableColumn id="1" xr3:uid="{FEB14247-B56A-C548-AFB9-00184F413BB8}" name="Date" dataDxfId="232"/>
    <tableColumn id="2" xr3:uid="{57D78165-E9FE-794A-9CBE-E7AF53E82F2A}" name="Description" dataDxfId="231"/>
    <tableColumn id="3" xr3:uid="{F5F240E9-558E-DE44-B06C-86610B040741}" name="Amount" dataDxfId="230"/>
    <tableColumn id="4" xr3:uid="{B7A3486A-64DB-2B44-BE21-5BCC19CB9573}" name="Amount2" dataDxfId="229">
      <calculatedColumnFormula>-C2</calculatedColumnFormula>
    </tableColumn>
    <tableColumn id="5" xr3:uid="{5159E992-8E78-5E42-A955-ABCAB6137E38}" name="Category" dataDxfId="228"/>
    <tableColumn id="6" xr3:uid="{4DA74A04-7EC7-2E4A-A04C-20EB56140538}" name="Card" dataDxfId="22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246DC8-CF68-174B-9B15-E7AB29D56B74}" name="Mar_25" displayName="Mar_25" ref="A1:F61" totalsRowShown="0" headerRowDxfId="207" dataDxfId="205" headerRowBorderDxfId="206" tableBorderDxfId="204">
  <autoFilter ref="A1:F61" xr:uid="{F8246DC8-CF68-174B-9B15-E7AB29D56B74}"/>
  <sortState xmlns:xlrd2="http://schemas.microsoft.com/office/spreadsheetml/2017/richdata2" ref="A2:F61">
    <sortCondition ref="A1:A61"/>
  </sortState>
  <tableColumns count="6">
    <tableColumn id="1" xr3:uid="{FBB795AB-0658-A843-A38E-6DA70A3F759F}" name="Date" dataDxfId="203"/>
    <tableColumn id="2" xr3:uid="{5B2DA539-4A88-364B-AD55-2B855165DA05}" name="Description" dataDxfId="202"/>
    <tableColumn id="3" xr3:uid="{FAC9784C-131E-4D4A-B125-ED371DE8F96D}" name="Amount" dataDxfId="201"/>
    <tableColumn id="4" xr3:uid="{8B38B2AB-6A93-C642-9D10-9610AA4D0D89}" name="Amount2" dataDxfId="200" dataCellStyle="Currency">
      <calculatedColumnFormula>-Mar_25[[#This Row],[Amount]]</calculatedColumnFormula>
    </tableColumn>
    <tableColumn id="5" xr3:uid="{A6C1C898-8F03-DE4F-9240-0B9060889CE8}" name="Category" dataDxfId="199"/>
    <tableColumn id="6" xr3:uid="{9BF2D7C5-B355-4B45-BF97-E5590FB3F909}" name="Card" dataDxfId="19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9135EE-0A43-A147-90D7-585C8932D22B}" name="Apr_25" displayName="Apr_25" ref="A1:F62" totalsRowShown="0" headerRowDxfId="196" dataDxfId="194" headerRowBorderDxfId="195" tableBorderDxfId="193">
  <autoFilter ref="A1:F62" xr:uid="{D29135EE-0A43-A147-90D7-585C8932D22B}">
    <filterColumn colId="1">
      <filters>
        <filter val="Amazon"/>
        <filter val="Amazon Marketplace"/>
        <filter val="Amazon Nyc Cafe"/>
      </filters>
    </filterColumn>
  </autoFilter>
  <sortState xmlns:xlrd2="http://schemas.microsoft.com/office/spreadsheetml/2017/richdata2" ref="A2:F62">
    <sortCondition ref="A1:A62"/>
  </sortState>
  <tableColumns count="6">
    <tableColumn id="1" xr3:uid="{FDA52685-2451-E241-BC63-7FDE14004A42}" name="Date" dataDxfId="192"/>
    <tableColumn id="2" xr3:uid="{C59D41A2-C70F-2048-951A-487FC63E8EA2}" name="Description" dataDxfId="191"/>
    <tableColumn id="3" xr3:uid="{F912C501-3DD9-CF40-B1CB-05B6FAD6FCB3}" name="Amount" dataDxfId="190"/>
    <tableColumn id="4" xr3:uid="{2AECE1C0-259E-494C-86BC-9FA79950E5C7}" name="Amount2" dataDxfId="189" dataCellStyle="Currency">
      <calculatedColumnFormula>-C2</calculatedColumnFormula>
    </tableColumn>
    <tableColumn id="5" xr3:uid="{D713C6DF-B1F3-7C45-A566-6BE4F11D0042}" name="Category" dataDxfId="188"/>
    <tableColumn id="6" xr3:uid="{EE2C6F79-B7E5-C245-9191-111AE166F4E1}" name="Card" dataDxfId="18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D6F4FC-E0F4-D145-873D-35EC47ADE047}" name="June_25" displayName="June_25" ref="A1:F34" totalsRowShown="0" headerRowDxfId="149" dataDxfId="147" headerRowBorderDxfId="148" tableBorderDxfId="146">
  <autoFilter ref="A1:F34" xr:uid="{74D6F4FC-E0F4-D145-873D-35EC47ADE047}"/>
  <sortState xmlns:xlrd2="http://schemas.microsoft.com/office/spreadsheetml/2017/richdata2" ref="A2:F34">
    <sortCondition ref="A1:A34"/>
  </sortState>
  <tableColumns count="6">
    <tableColumn id="1" xr3:uid="{EF3CEE91-F23E-554C-805A-504AE0D953CA}" name="Date" dataDxfId="145"/>
    <tableColumn id="2" xr3:uid="{34F9C948-10BE-2A4F-B52B-A766258DCA74}" name="Description" dataDxfId="144"/>
    <tableColumn id="3" xr3:uid="{FE614FA8-8B5D-0E4C-AD80-34351057466E}" name="Amount" dataDxfId="143"/>
    <tableColumn id="4" xr3:uid="{F1F8F411-4808-BB47-A9A2-0B3C288111E8}" name="Amount2" dataDxfId="142" dataCellStyle="Currency">
      <calculatedColumnFormula>-C2</calculatedColumnFormula>
    </tableColumn>
    <tableColumn id="5" xr3:uid="{F6EE3B0C-DFA3-2047-A709-D1D0838EBF8E}" name="Category" dataDxfId="141"/>
    <tableColumn id="6" xr3:uid="{0A97D93E-C90D-5E4D-8536-D07693126C3F}" name="Card" dataDxfId="14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418B9FC-1482-1E4A-AB8B-6BFB4D239D6A}" name="July_25" displayName="July_25" ref="A1:F65" totalsRowShown="0" headerRowDxfId="114" dataDxfId="112" headerRowBorderDxfId="113" tableBorderDxfId="111">
  <autoFilter ref="A1:F65" xr:uid="{7418B9FC-1482-1E4A-AB8B-6BFB4D239D6A}"/>
  <sortState xmlns:xlrd2="http://schemas.microsoft.com/office/spreadsheetml/2017/richdata2" ref="A2:F65">
    <sortCondition ref="A1:A65"/>
  </sortState>
  <tableColumns count="6">
    <tableColumn id="1" xr3:uid="{A97405C2-427E-D14B-9C3F-BFAF47E8EAC8}" name="Date" dataDxfId="110"/>
    <tableColumn id="2" xr3:uid="{71FF2BEC-BF8A-3D45-B6E6-F4A910A26437}" name="Description" dataDxfId="109"/>
    <tableColumn id="3" xr3:uid="{1A6ACB40-DC8F-9246-A3F2-4DF17ABF6BC9}" name="Amount" dataDxfId="108"/>
    <tableColumn id="4" xr3:uid="{203122E0-14E0-2847-A34F-4EFE0B24AA91}" name="Amount2" dataDxfId="107" dataCellStyle="Currency">
      <calculatedColumnFormula>-C2</calculatedColumnFormula>
    </tableColumn>
    <tableColumn id="5" xr3:uid="{068F04C2-EADE-3C43-BDBF-A1C8FF42AFF2}" name="Category" dataDxfId="106"/>
    <tableColumn id="6" xr3:uid="{9EC6EF44-7293-6E49-BE2A-86B4C7A204E6}" name="Card" dataDxfId="10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B9B133-C25F-CC45-95B3-3E37D82FF88F}" name="Table8" displayName="Table8" ref="A1:F64" totalsRowShown="0" headerRowDxfId="92" dataDxfId="90" headerRowBorderDxfId="91" tableBorderDxfId="89">
  <autoFilter ref="A1:F64" xr:uid="{97C0E899-59B1-FC4F-B99E-9CE3E9CEBDF9}"/>
  <sortState xmlns:xlrd2="http://schemas.microsoft.com/office/spreadsheetml/2017/richdata2" ref="A2:F64">
    <sortCondition ref="A1:A64"/>
  </sortState>
  <tableColumns count="6">
    <tableColumn id="1" xr3:uid="{478BC4E3-1B75-3141-96D9-27848F195C42}" name="Date" dataDxfId="88"/>
    <tableColumn id="2" xr3:uid="{A7AE3244-4A70-0B45-80A4-6FA666FA3EE7}" name="Description" dataDxfId="87"/>
    <tableColumn id="3" xr3:uid="{E13CB596-E5EC-D545-8E97-F80078FD7626}" name="Amount" dataDxfId="86"/>
    <tableColumn id="4" xr3:uid="{2FDC5592-C6A2-9542-8AC4-21879905A7CB}" name="Amount2" dataDxfId="85" dataCellStyle="Currency">
      <calculatedColumnFormula>-C2</calculatedColumnFormula>
    </tableColumn>
    <tableColumn id="5" xr3:uid="{8EB29236-6988-C44E-9501-B10CA4537890}" name="Category" dataDxfId="84"/>
    <tableColumn id="6" xr3:uid="{5081CF2C-FD8C-7C44-868D-177C16862AAA}" name="Card" dataDxfId="8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5C9174E-30D6-A64D-BCC2-AA4BCC8395A1}" name="Table9" displayName="Table9" ref="A1:F73" totalsRowShown="0" headerRowDxfId="52" dataDxfId="50" headerRowBorderDxfId="51" tableBorderDxfId="49">
  <autoFilter ref="A1:F73" xr:uid="{D61D6B97-98FD-3242-83CD-F04A13312B7A}">
    <filterColumn colId="4">
      <filters>
        <filter val="Australia DY"/>
      </filters>
    </filterColumn>
  </autoFilter>
  <sortState xmlns:xlrd2="http://schemas.microsoft.com/office/spreadsheetml/2017/richdata2" ref="A2:F73">
    <sortCondition ref="A1:A73"/>
  </sortState>
  <tableColumns count="6">
    <tableColumn id="1" xr3:uid="{94120DB8-DCC2-B24B-A10D-4BAB92E5597A}" name="Date" dataDxfId="48"/>
    <tableColumn id="2" xr3:uid="{E1BFDBF2-9E14-A94D-82BF-164C051CB5AB}" name="Description" dataDxfId="47"/>
    <tableColumn id="3" xr3:uid="{930793A7-4EAF-584B-8C92-F90ADDBC6B7B}" name="Amount" dataDxfId="46"/>
    <tableColumn id="4" xr3:uid="{74816A66-3EE7-B244-9468-531A949B6D8C}" name="Amount2" dataDxfId="45">
      <calculatedColumnFormula>-C2</calculatedColumnFormula>
    </tableColumn>
    <tableColumn id="5" xr3:uid="{836F2297-CEA7-424A-A3E2-EFE44D198896}" name="Category" dataDxfId="44"/>
    <tableColumn id="6" xr3:uid="{CA711580-8160-544A-AC6B-2D689A496F17}" name="Card" dataDxfId="43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FDE8F3-9CE3-7E46-B548-3845C1575C46}" name="Nov_25" displayName="Nov_25" ref="A1:F70" totalsRowShown="0" headerRowDxfId="17" dataDxfId="15" headerRowBorderDxfId="16" tableBorderDxfId="14">
  <autoFilter ref="A1:F70" xr:uid="{E1FDE8F3-9CE3-7E46-B548-3845C1575C46}">
    <filterColumn colId="4">
      <filters>
        <filter val="Australia DY"/>
      </filters>
    </filterColumn>
  </autoFilter>
  <sortState xmlns:xlrd2="http://schemas.microsoft.com/office/spreadsheetml/2017/richdata2" ref="A2:F70">
    <sortCondition ref="A1:A70"/>
  </sortState>
  <tableColumns count="6">
    <tableColumn id="1" xr3:uid="{9EA56F56-0FCF-9D44-970A-480D68B21250}" name="Date" dataDxfId="13"/>
    <tableColumn id="2" xr3:uid="{58E245B0-6BB1-2B4B-B2B5-FFD421150B5E}" name="Description" dataDxfId="12"/>
    <tableColumn id="3" xr3:uid="{6CA12FA4-DE34-3349-8879-D68623EFABEC}" name="Amount" dataDxfId="11"/>
    <tableColumn id="4" xr3:uid="{2764216E-521F-9B43-A096-6D1707A24B0C}" name="Amount2" dataDxfId="10">
      <calculatedColumnFormula>-Nov_25[[#This Row],[Amount]]</calculatedColumnFormula>
    </tableColumn>
    <tableColumn id="5" xr3:uid="{999D862C-B1DD-D943-A227-BE1F71FD3751}" name="Category" dataDxfId="9"/>
    <tableColumn id="6" xr3:uid="{1AC35792-8EE8-A545-9444-281A418722C9}" name="Card" dataDxfId="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928B27-E09D-BA48-AC02-F08991792BCB}" name="Table11" displayName="Table11" ref="A1:G60" totalsRowShown="0" headerRowDxfId="303" dataDxfId="301" headerRowBorderDxfId="302" tableBorderDxfId="300">
  <autoFilter ref="A1:G60" xr:uid="{EB928B27-E09D-BA48-AC02-F08991792BCB}"/>
  <sortState xmlns:xlrd2="http://schemas.microsoft.com/office/spreadsheetml/2017/richdata2" ref="A2:G60">
    <sortCondition sortBy="fontColor" ref="A32:A60" dxfId="299"/>
  </sortState>
  <tableColumns count="7">
    <tableColumn id="1" xr3:uid="{F9A8E492-4C30-C245-950D-8FFD902EA3F6}" name="Date" dataDxfId="298"/>
    <tableColumn id="2" xr3:uid="{25A2A13C-92BA-BD40-853D-AA346CF56E67}" name="Description" dataDxfId="297"/>
    <tableColumn id="3" xr3:uid="{5EE89A8D-C7F6-854F-93C1-EE126D96166B}" name="Amount2" dataDxfId="296"/>
    <tableColumn id="6" xr3:uid="{549FA2C5-9452-8648-AB2F-8F46E7884BD8}" name="Amount" dataDxfId="295"/>
    <tableColumn id="8" xr3:uid="{D2557F3F-6954-C543-9FD6-183D9C856274}" name="Amount " dataDxfId="294">
      <calculatedColumnFormula>-Table11[[#This Row],[Amount]]</calculatedColumnFormula>
    </tableColumn>
    <tableColumn id="4" xr3:uid="{6DB583C8-0F91-1F40-9CF2-A0A177780702}" name="Category" dataDxfId="293"/>
    <tableColumn id="5" xr3:uid="{597FC06A-82D2-7141-A76D-BEFFA282C693}" name="Card" dataDxfId="292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3F8BA4-F15E-D746-82E4-3AE51FFF00D6}" name="Table6" displayName="Table6" ref="A1:D14" totalsRowShown="0" headerRowDxfId="7" dataDxfId="5" headerRowBorderDxfId="6" tableBorderDxfId="4">
  <autoFilter ref="A1:D14" xr:uid="{773F8BA4-F15E-D746-82E4-3AE51FFF00D6}"/>
  <sortState xmlns:xlrd2="http://schemas.microsoft.com/office/spreadsheetml/2017/richdata2" ref="A2:D14">
    <sortCondition ref="A1:A14"/>
  </sortState>
  <tableColumns count="4">
    <tableColumn id="1" xr3:uid="{8E8D4E12-14A4-0846-BA57-BDB7A08A6BD2}" name="Date" dataDxfId="3"/>
    <tableColumn id="2" xr3:uid="{A16B47FF-44B9-8942-AA89-BCD2AFBCC0B4}" name="Description" dataDxfId="2"/>
    <tableColumn id="3" xr3:uid="{0628110B-266D-6047-BD12-AA06BA19448D}" name="Amount" dataDxfId="1" dataCellStyle="Currency"/>
    <tableColumn id="4" xr3:uid="{FDF9CC95-69D8-974A-9A49-184ECADA8B18}" name="Car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0734-542E-1A47-B669-F67F02F705A8}">
  <dimension ref="A1:I54"/>
  <sheetViews>
    <sheetView topLeftCell="A30" workbookViewId="0">
      <selection activeCell="A43" sqref="A43"/>
    </sheetView>
  </sheetViews>
  <sheetFormatPr baseColWidth="10" defaultRowHeight="16" x14ac:dyDescent="0.2"/>
  <cols>
    <col min="1" max="1" width="11.1640625" bestFit="1" customWidth="1"/>
    <col min="2" max="2" width="30.33203125" customWidth="1"/>
    <col min="3" max="3" width="10.83203125" hidden="1" customWidth="1"/>
    <col min="4" max="4" width="13.1640625" customWidth="1"/>
    <col min="5" max="5" width="15.6640625" bestFit="1" customWidth="1"/>
    <col min="6" max="6" width="32.5" bestFit="1" customWidth="1"/>
    <col min="8" max="8" width="15.6640625" bestFit="1" customWidth="1"/>
    <col min="9" max="9" width="13.5" bestFit="1" customWidth="1"/>
  </cols>
  <sheetData>
    <row r="1" spans="1:9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23" t="s">
        <v>4</v>
      </c>
      <c r="I1" s="22" t="s">
        <v>44</v>
      </c>
    </row>
    <row r="2" spans="1:9" ht="20" x14ac:dyDescent="0.25">
      <c r="A2" s="4">
        <v>45659</v>
      </c>
      <c r="B2" s="5" t="s">
        <v>19</v>
      </c>
      <c r="C2" s="5">
        <v>-2.11</v>
      </c>
      <c r="D2" s="5">
        <f>-C2+0.18+1.05+0.35+0.7</f>
        <v>4.3899999999999997</v>
      </c>
      <c r="E2" s="5" t="s">
        <v>6</v>
      </c>
      <c r="F2" s="5" t="s">
        <v>7</v>
      </c>
      <c r="H2" s="22" t="s">
        <v>11</v>
      </c>
      <c r="I2" s="24">
        <v>154.63999999999999</v>
      </c>
    </row>
    <row r="3" spans="1:9" ht="20" x14ac:dyDescent="0.25">
      <c r="A3" s="4">
        <v>45664</v>
      </c>
      <c r="B3" s="5" t="s">
        <v>15</v>
      </c>
      <c r="C3" s="5">
        <v>-9.99</v>
      </c>
      <c r="D3" s="5">
        <f t="shared" ref="D3:D33" si="0">-C3</f>
        <v>9.99</v>
      </c>
      <c r="E3" s="5" t="s">
        <v>8</v>
      </c>
      <c r="F3" s="5" t="s">
        <v>9</v>
      </c>
      <c r="H3" s="22" t="s">
        <v>14</v>
      </c>
      <c r="I3" s="24">
        <v>103.17999999999999</v>
      </c>
    </row>
    <row r="4" spans="1:9" ht="20" x14ac:dyDescent="0.25">
      <c r="A4" s="4">
        <v>45664</v>
      </c>
      <c r="B4" s="5" t="s">
        <v>38</v>
      </c>
      <c r="C4" s="5">
        <v>-13.07</v>
      </c>
      <c r="D4" s="5">
        <f t="shared" si="0"/>
        <v>13.07</v>
      </c>
      <c r="E4" s="5" t="s">
        <v>14</v>
      </c>
      <c r="F4" s="5" t="s">
        <v>12</v>
      </c>
      <c r="H4" s="22" t="s">
        <v>40</v>
      </c>
      <c r="I4" s="24">
        <v>280.65999999999997</v>
      </c>
    </row>
    <row r="5" spans="1:9" ht="20" x14ac:dyDescent="0.25">
      <c r="A5" s="4">
        <v>45666</v>
      </c>
      <c r="B5" s="6" t="s">
        <v>37</v>
      </c>
      <c r="C5" s="5">
        <v>-7.59</v>
      </c>
      <c r="D5" s="5">
        <f t="shared" si="0"/>
        <v>7.59</v>
      </c>
      <c r="E5" s="5" t="s">
        <v>43</v>
      </c>
      <c r="F5" s="5" t="s">
        <v>12</v>
      </c>
      <c r="H5" s="22" t="s">
        <v>8</v>
      </c>
      <c r="I5" s="24">
        <v>93.73</v>
      </c>
    </row>
    <row r="6" spans="1:9" ht="20" x14ac:dyDescent="0.25">
      <c r="A6" s="4">
        <v>45666</v>
      </c>
      <c r="B6" s="5" t="s">
        <v>41</v>
      </c>
      <c r="C6" s="5">
        <v>-5</v>
      </c>
      <c r="D6" s="5">
        <f t="shared" si="0"/>
        <v>5</v>
      </c>
      <c r="E6" s="5" t="s">
        <v>8</v>
      </c>
      <c r="F6" s="5" t="s">
        <v>7</v>
      </c>
      <c r="H6" s="22" t="s">
        <v>13</v>
      </c>
      <c r="I6" s="24">
        <v>717.20999999999992</v>
      </c>
    </row>
    <row r="7" spans="1:9" ht="20" x14ac:dyDescent="0.25">
      <c r="A7" s="4">
        <v>45666</v>
      </c>
      <c r="B7" s="5" t="s">
        <v>28</v>
      </c>
      <c r="C7" s="5">
        <v>-22.44</v>
      </c>
      <c r="D7" s="5">
        <f t="shared" si="0"/>
        <v>22.44</v>
      </c>
      <c r="E7" s="5" t="s">
        <v>6</v>
      </c>
      <c r="F7" s="5" t="s">
        <v>7</v>
      </c>
      <c r="H7" s="22" t="s">
        <v>43</v>
      </c>
      <c r="I7" s="24">
        <v>14.48</v>
      </c>
    </row>
    <row r="8" spans="1:9" ht="20" x14ac:dyDescent="0.25">
      <c r="A8" s="4">
        <v>45666</v>
      </c>
      <c r="B8" s="5" t="s">
        <v>41</v>
      </c>
      <c r="C8" s="5">
        <v>-4.25</v>
      </c>
      <c r="D8" s="5">
        <f t="shared" si="0"/>
        <v>4.25</v>
      </c>
      <c r="E8" s="5" t="s">
        <v>8</v>
      </c>
      <c r="F8" s="5" t="s">
        <v>7</v>
      </c>
      <c r="H8" s="22" t="s">
        <v>16</v>
      </c>
      <c r="I8" s="24">
        <v>2.99</v>
      </c>
    </row>
    <row r="9" spans="1:9" ht="20" x14ac:dyDescent="0.25">
      <c r="A9" s="4">
        <v>45666</v>
      </c>
      <c r="B9" s="5" t="s">
        <v>41</v>
      </c>
      <c r="C9" s="5">
        <v>-9.99</v>
      </c>
      <c r="D9" s="5">
        <f t="shared" si="0"/>
        <v>9.99</v>
      </c>
      <c r="E9" s="5" t="s">
        <v>8</v>
      </c>
      <c r="F9" s="5" t="s">
        <v>7</v>
      </c>
      <c r="H9" s="22" t="s">
        <v>39</v>
      </c>
      <c r="I9" s="25">
        <v>1366.89</v>
      </c>
    </row>
    <row r="10" spans="1:9" ht="20" x14ac:dyDescent="0.25">
      <c r="A10" s="4">
        <v>45666</v>
      </c>
      <c r="B10" s="5" t="s">
        <v>36</v>
      </c>
      <c r="C10" s="5">
        <v>-12.85</v>
      </c>
      <c r="D10" s="5">
        <f t="shared" si="0"/>
        <v>12.85</v>
      </c>
      <c r="E10" s="5" t="s">
        <v>6</v>
      </c>
      <c r="F10" s="5" t="s">
        <v>7</v>
      </c>
    </row>
    <row r="11" spans="1:9" ht="20" x14ac:dyDescent="0.25">
      <c r="A11" s="4">
        <v>45666</v>
      </c>
      <c r="B11" s="5" t="s">
        <v>17</v>
      </c>
      <c r="C11" s="5">
        <v>-51.38</v>
      </c>
      <c r="D11" s="5">
        <f t="shared" si="0"/>
        <v>51.38</v>
      </c>
      <c r="E11" s="5" t="s">
        <v>14</v>
      </c>
      <c r="F11" s="5" t="s">
        <v>7</v>
      </c>
    </row>
    <row r="12" spans="1:9" ht="20" x14ac:dyDescent="0.25">
      <c r="A12" s="4">
        <v>45668</v>
      </c>
      <c r="B12" s="5" t="s">
        <v>41</v>
      </c>
      <c r="C12" s="5">
        <v>-5</v>
      </c>
      <c r="D12" s="5">
        <f t="shared" si="0"/>
        <v>5</v>
      </c>
      <c r="E12" s="5" t="s">
        <v>8</v>
      </c>
      <c r="F12" s="5" t="s">
        <v>7</v>
      </c>
    </row>
    <row r="13" spans="1:9" ht="20" x14ac:dyDescent="0.25">
      <c r="A13" s="4">
        <v>45668</v>
      </c>
      <c r="B13" s="5" t="s">
        <v>41</v>
      </c>
      <c r="C13" s="5">
        <v>-5</v>
      </c>
      <c r="D13" s="5">
        <f t="shared" si="0"/>
        <v>5</v>
      </c>
      <c r="E13" s="5" t="s">
        <v>8</v>
      </c>
      <c r="F13" s="5" t="s">
        <v>7</v>
      </c>
    </row>
    <row r="14" spans="1:9" ht="20" x14ac:dyDescent="0.25">
      <c r="A14" s="4">
        <v>45668</v>
      </c>
      <c r="B14" s="5" t="s">
        <v>41</v>
      </c>
      <c r="C14" s="5">
        <v>-4.25</v>
      </c>
      <c r="D14" s="5">
        <f t="shared" si="0"/>
        <v>4.25</v>
      </c>
      <c r="E14" s="5" t="s">
        <v>8</v>
      </c>
      <c r="F14" s="5" t="s">
        <v>7</v>
      </c>
    </row>
    <row r="15" spans="1:9" ht="20" x14ac:dyDescent="0.25">
      <c r="A15" s="4">
        <v>45668</v>
      </c>
      <c r="B15" s="5" t="s">
        <v>41</v>
      </c>
      <c r="C15" s="5">
        <v>-4.25</v>
      </c>
      <c r="D15" s="5">
        <f t="shared" si="0"/>
        <v>4.25</v>
      </c>
      <c r="E15" s="5" t="s">
        <v>8</v>
      </c>
      <c r="F15" s="5" t="s">
        <v>7</v>
      </c>
    </row>
    <row r="16" spans="1:9" ht="20" x14ac:dyDescent="0.25">
      <c r="A16" s="4">
        <v>45670</v>
      </c>
      <c r="B16" s="5" t="s">
        <v>36</v>
      </c>
      <c r="C16" s="5">
        <v>-13.39</v>
      </c>
      <c r="D16" s="5">
        <f t="shared" si="0"/>
        <v>13.39</v>
      </c>
      <c r="E16" s="5" t="s">
        <v>6</v>
      </c>
      <c r="F16" s="5" t="s">
        <v>7</v>
      </c>
    </row>
    <row r="17" spans="1:6" ht="20" x14ac:dyDescent="0.25">
      <c r="A17" s="4">
        <v>45670</v>
      </c>
      <c r="B17" s="5" t="s">
        <v>41</v>
      </c>
      <c r="C17" s="5">
        <v>-5</v>
      </c>
      <c r="D17" s="5">
        <f t="shared" si="0"/>
        <v>5</v>
      </c>
      <c r="E17" s="5" t="s">
        <v>8</v>
      </c>
      <c r="F17" s="5" t="s">
        <v>7</v>
      </c>
    </row>
    <row r="18" spans="1:6" ht="20" x14ac:dyDescent="0.25">
      <c r="A18" s="4">
        <v>45670</v>
      </c>
      <c r="B18" s="5" t="s">
        <v>41</v>
      </c>
      <c r="C18" s="5">
        <v>-4.25</v>
      </c>
      <c r="D18" s="5">
        <f t="shared" si="0"/>
        <v>4.25</v>
      </c>
      <c r="E18" s="5" t="s">
        <v>8</v>
      </c>
      <c r="F18" s="5" t="s">
        <v>7</v>
      </c>
    </row>
    <row r="19" spans="1:6" ht="20" x14ac:dyDescent="0.25">
      <c r="A19" s="4">
        <v>45671</v>
      </c>
      <c r="B19" s="5" t="s">
        <v>23</v>
      </c>
      <c r="C19" s="5">
        <v>-48.53</v>
      </c>
      <c r="D19" s="5">
        <f t="shared" si="0"/>
        <v>48.53</v>
      </c>
      <c r="E19" s="5" t="s">
        <v>11</v>
      </c>
      <c r="F19" s="5" t="s">
        <v>9</v>
      </c>
    </row>
    <row r="20" spans="1:6" ht="20" x14ac:dyDescent="0.25">
      <c r="A20" s="4">
        <v>45671</v>
      </c>
      <c r="B20" s="5" t="s">
        <v>34</v>
      </c>
      <c r="C20" s="5">
        <v>-10.56</v>
      </c>
      <c r="D20" s="5">
        <f t="shared" si="0"/>
        <v>10.56</v>
      </c>
      <c r="E20" s="5" t="s">
        <v>6</v>
      </c>
      <c r="F20" s="5" t="s">
        <v>7</v>
      </c>
    </row>
    <row r="21" spans="1:6" ht="20" x14ac:dyDescent="0.25">
      <c r="A21" s="4">
        <v>45671</v>
      </c>
      <c r="B21" s="5" t="s">
        <v>30</v>
      </c>
      <c r="C21" s="5">
        <v>-4.34</v>
      </c>
      <c r="D21" s="5">
        <f t="shared" si="0"/>
        <v>4.34</v>
      </c>
      <c r="E21" s="5" t="s">
        <v>11</v>
      </c>
      <c r="F21" s="5" t="s">
        <v>12</v>
      </c>
    </row>
    <row r="22" spans="1:6" ht="20" x14ac:dyDescent="0.25">
      <c r="A22" s="4">
        <v>45671</v>
      </c>
      <c r="B22" s="5" t="s">
        <v>10</v>
      </c>
      <c r="C22" s="5">
        <v>-39.299999999999997</v>
      </c>
      <c r="D22" s="5">
        <f t="shared" si="0"/>
        <v>39.299999999999997</v>
      </c>
      <c r="E22" s="5" t="s">
        <v>11</v>
      </c>
      <c r="F22" s="5" t="s">
        <v>12</v>
      </c>
    </row>
    <row r="23" spans="1:6" ht="20" x14ac:dyDescent="0.25">
      <c r="A23" s="4">
        <v>45671</v>
      </c>
      <c r="B23" s="6" t="s">
        <v>35</v>
      </c>
      <c r="C23" s="5">
        <v>-5.89</v>
      </c>
      <c r="D23" s="5">
        <f t="shared" si="0"/>
        <v>5.89</v>
      </c>
      <c r="E23" s="5" t="s">
        <v>43</v>
      </c>
      <c r="F23" s="5" t="s">
        <v>7</v>
      </c>
    </row>
    <row r="24" spans="1:6" ht="20" x14ac:dyDescent="0.25">
      <c r="A24" s="4">
        <v>45672</v>
      </c>
      <c r="B24" s="6" t="s">
        <v>23</v>
      </c>
      <c r="C24" s="5">
        <v>-1</v>
      </c>
      <c r="D24" s="5">
        <f t="shared" si="0"/>
        <v>1</v>
      </c>
      <c r="E24" s="5" t="s">
        <v>43</v>
      </c>
      <c r="F24" s="5" t="s">
        <v>9</v>
      </c>
    </row>
    <row r="25" spans="1:6" ht="20" x14ac:dyDescent="0.25">
      <c r="A25" s="4">
        <v>45672</v>
      </c>
      <c r="B25" s="5" t="s">
        <v>17</v>
      </c>
      <c r="C25" s="5">
        <v>-9.99</v>
      </c>
      <c r="D25" s="5">
        <f t="shared" si="0"/>
        <v>9.99</v>
      </c>
      <c r="E25" s="5" t="s">
        <v>14</v>
      </c>
      <c r="F25" s="5" t="s">
        <v>7</v>
      </c>
    </row>
    <row r="26" spans="1:6" ht="20" x14ac:dyDescent="0.25">
      <c r="A26" s="4">
        <v>45672</v>
      </c>
      <c r="B26" s="5" t="s">
        <v>33</v>
      </c>
      <c r="C26" s="5">
        <v>-0.26</v>
      </c>
      <c r="D26" s="5">
        <f t="shared" si="0"/>
        <v>0.26</v>
      </c>
      <c r="E26" s="5" t="s">
        <v>8</v>
      </c>
      <c r="F26" s="5" t="s">
        <v>12</v>
      </c>
    </row>
    <row r="27" spans="1:6" ht="20" x14ac:dyDescent="0.25">
      <c r="A27" s="4">
        <v>45673</v>
      </c>
      <c r="B27" s="5" t="s">
        <v>41</v>
      </c>
      <c r="C27" s="5">
        <v>-5</v>
      </c>
      <c r="D27" s="5">
        <f t="shared" si="0"/>
        <v>5</v>
      </c>
      <c r="E27" s="5" t="s">
        <v>8</v>
      </c>
      <c r="F27" s="5" t="s">
        <v>7</v>
      </c>
    </row>
    <row r="28" spans="1:6" ht="20" x14ac:dyDescent="0.25">
      <c r="A28" s="4">
        <v>45673</v>
      </c>
      <c r="B28" s="5" t="s">
        <v>41</v>
      </c>
      <c r="C28" s="5">
        <v>-5</v>
      </c>
      <c r="D28" s="5">
        <f t="shared" si="0"/>
        <v>5</v>
      </c>
      <c r="E28" s="5" t="s">
        <v>8</v>
      </c>
      <c r="F28" s="5" t="s">
        <v>7</v>
      </c>
    </row>
    <row r="29" spans="1:6" ht="20" x14ac:dyDescent="0.25">
      <c r="A29" s="4">
        <v>45673</v>
      </c>
      <c r="B29" s="5" t="s">
        <v>41</v>
      </c>
      <c r="C29" s="5">
        <v>-4.25</v>
      </c>
      <c r="D29" s="5">
        <f t="shared" si="0"/>
        <v>4.25</v>
      </c>
      <c r="E29" s="5" t="s">
        <v>8</v>
      </c>
      <c r="F29" s="5" t="s">
        <v>7</v>
      </c>
    </row>
    <row r="30" spans="1:6" ht="20" x14ac:dyDescent="0.25">
      <c r="A30" s="4">
        <v>45673</v>
      </c>
      <c r="B30" s="5" t="s">
        <v>32</v>
      </c>
      <c r="C30" s="5">
        <v>-4.51</v>
      </c>
      <c r="D30" s="5">
        <f t="shared" si="0"/>
        <v>4.51</v>
      </c>
      <c r="E30" s="5" t="s">
        <v>6</v>
      </c>
      <c r="F30" s="5" t="s">
        <v>12</v>
      </c>
    </row>
    <row r="31" spans="1:6" ht="20" x14ac:dyDescent="0.25">
      <c r="A31" s="4">
        <v>45674</v>
      </c>
      <c r="B31" s="5" t="s">
        <v>10</v>
      </c>
      <c r="C31" s="5">
        <v>-27.43</v>
      </c>
      <c r="D31" s="5">
        <f t="shared" si="0"/>
        <v>27.43</v>
      </c>
      <c r="E31" s="5" t="s">
        <v>11</v>
      </c>
      <c r="F31" s="5" t="s">
        <v>12</v>
      </c>
    </row>
    <row r="32" spans="1:6" ht="20" x14ac:dyDescent="0.25">
      <c r="A32" s="4">
        <v>45674</v>
      </c>
      <c r="B32" s="5" t="s">
        <v>18</v>
      </c>
      <c r="C32" s="5">
        <v>-2.99</v>
      </c>
      <c r="D32" s="5">
        <f t="shared" si="0"/>
        <v>2.99</v>
      </c>
      <c r="E32" s="5" t="s">
        <v>16</v>
      </c>
      <c r="F32" s="5" t="s">
        <v>12</v>
      </c>
    </row>
    <row r="33" spans="1:6" ht="20" x14ac:dyDescent="0.25">
      <c r="A33" s="4">
        <v>45675</v>
      </c>
      <c r="B33" s="5" t="s">
        <v>15</v>
      </c>
      <c r="C33" s="5">
        <v>-2.99</v>
      </c>
      <c r="D33" s="5">
        <f t="shared" si="0"/>
        <v>2.99</v>
      </c>
      <c r="E33" s="5" t="s">
        <v>8</v>
      </c>
      <c r="F33" s="5" t="s">
        <v>9</v>
      </c>
    </row>
    <row r="34" spans="1:6" ht="20" x14ac:dyDescent="0.25">
      <c r="A34" s="4">
        <v>45676</v>
      </c>
      <c r="B34" s="5" t="s">
        <v>31</v>
      </c>
      <c r="C34" s="5">
        <v>-134.69</v>
      </c>
      <c r="D34" s="5">
        <f t="shared" ref="D34:D52" si="1">-C34</f>
        <v>134.69</v>
      </c>
      <c r="E34" s="5" t="s">
        <v>13</v>
      </c>
      <c r="F34" s="5" t="s">
        <v>9</v>
      </c>
    </row>
    <row r="35" spans="1:6" ht="20" x14ac:dyDescent="0.25">
      <c r="A35" s="4">
        <v>45677</v>
      </c>
      <c r="B35" s="5" t="s">
        <v>30</v>
      </c>
      <c r="C35" s="5">
        <v>-8.27</v>
      </c>
      <c r="D35" s="5">
        <f t="shared" si="1"/>
        <v>8.27</v>
      </c>
      <c r="E35" s="5" t="s">
        <v>11</v>
      </c>
      <c r="F35" s="5" t="s">
        <v>12</v>
      </c>
    </row>
    <row r="36" spans="1:6" ht="20" x14ac:dyDescent="0.25">
      <c r="A36" s="4">
        <v>45677</v>
      </c>
      <c r="B36" s="5" t="s">
        <v>10</v>
      </c>
      <c r="C36" s="5">
        <v>-13.76</v>
      </c>
      <c r="D36" s="5">
        <f t="shared" si="1"/>
        <v>13.76</v>
      </c>
      <c r="E36" s="5" t="s">
        <v>11</v>
      </c>
      <c r="F36" s="5" t="s">
        <v>12</v>
      </c>
    </row>
    <row r="37" spans="1:6" ht="20" x14ac:dyDescent="0.25">
      <c r="A37" s="4">
        <v>45678</v>
      </c>
      <c r="B37" s="5" t="s">
        <v>41</v>
      </c>
      <c r="C37" s="5">
        <v>-5</v>
      </c>
      <c r="D37" s="5">
        <f t="shared" si="1"/>
        <v>5</v>
      </c>
      <c r="E37" s="5" t="s">
        <v>8</v>
      </c>
      <c r="F37" s="5" t="s">
        <v>9</v>
      </c>
    </row>
    <row r="38" spans="1:6" ht="20" x14ac:dyDescent="0.25">
      <c r="A38" s="4">
        <v>45679</v>
      </c>
      <c r="B38" s="5" t="s">
        <v>41</v>
      </c>
      <c r="C38" s="5">
        <v>-5</v>
      </c>
      <c r="D38" s="5">
        <f t="shared" si="1"/>
        <v>5</v>
      </c>
      <c r="E38" s="5" t="s">
        <v>8</v>
      </c>
      <c r="F38" s="5" t="s">
        <v>9</v>
      </c>
    </row>
    <row r="39" spans="1:6" ht="20" x14ac:dyDescent="0.25">
      <c r="A39" s="4">
        <v>45679</v>
      </c>
      <c r="B39" s="5" t="s">
        <v>41</v>
      </c>
      <c r="C39" s="5">
        <v>-4.25</v>
      </c>
      <c r="D39" s="5">
        <f t="shared" si="1"/>
        <v>4.25</v>
      </c>
      <c r="E39" s="5" t="s">
        <v>8</v>
      </c>
      <c r="F39" s="5" t="s">
        <v>9</v>
      </c>
    </row>
    <row r="40" spans="1:6" ht="20" x14ac:dyDescent="0.25">
      <c r="A40" s="4">
        <v>45679</v>
      </c>
      <c r="B40" s="5" t="s">
        <v>41</v>
      </c>
      <c r="C40" s="5">
        <v>-5</v>
      </c>
      <c r="D40" s="5">
        <f t="shared" si="1"/>
        <v>5</v>
      </c>
      <c r="E40" s="5" t="s">
        <v>8</v>
      </c>
      <c r="F40" s="5" t="s">
        <v>9</v>
      </c>
    </row>
    <row r="41" spans="1:6" ht="20" x14ac:dyDescent="0.25">
      <c r="A41" s="4">
        <v>45679</v>
      </c>
      <c r="B41" s="5" t="s">
        <v>29</v>
      </c>
      <c r="C41" s="5">
        <v>-28.31</v>
      </c>
      <c r="D41" s="5">
        <f t="shared" si="1"/>
        <v>28.31</v>
      </c>
      <c r="E41" s="5" t="s">
        <v>13</v>
      </c>
      <c r="F41" s="5" t="s">
        <v>12</v>
      </c>
    </row>
    <row r="42" spans="1:6" ht="20" x14ac:dyDescent="0.25">
      <c r="A42" s="4">
        <v>45681</v>
      </c>
      <c r="B42" s="5" t="s">
        <v>28</v>
      </c>
      <c r="C42" s="5">
        <v>-19.8</v>
      </c>
      <c r="D42" s="5">
        <f t="shared" si="1"/>
        <v>19.8</v>
      </c>
      <c r="E42" s="5" t="s">
        <v>6</v>
      </c>
      <c r="F42" s="5" t="s">
        <v>7</v>
      </c>
    </row>
    <row r="43" spans="1:6" ht="20" x14ac:dyDescent="0.25">
      <c r="A43" s="4">
        <v>45682</v>
      </c>
      <c r="B43" s="5" t="s">
        <v>27</v>
      </c>
      <c r="C43" s="5">
        <v>-192.72</v>
      </c>
      <c r="D43" s="5">
        <f t="shared" si="1"/>
        <v>192.72</v>
      </c>
      <c r="E43" s="5" t="s">
        <v>6</v>
      </c>
      <c r="F43" s="5" t="s">
        <v>7</v>
      </c>
    </row>
    <row r="44" spans="1:6" ht="20" x14ac:dyDescent="0.25">
      <c r="A44" s="4">
        <v>45682</v>
      </c>
      <c r="B44" s="5" t="s">
        <v>20</v>
      </c>
      <c r="C44" s="5">
        <v>-16.13</v>
      </c>
      <c r="D44" s="5">
        <f t="shared" si="1"/>
        <v>16.13</v>
      </c>
      <c r="E44" s="5" t="s">
        <v>13</v>
      </c>
      <c r="F44" s="5" t="s">
        <v>9</v>
      </c>
    </row>
    <row r="45" spans="1:6" ht="20" x14ac:dyDescent="0.25">
      <c r="A45" s="4">
        <v>45683</v>
      </c>
      <c r="B45" s="5" t="s">
        <v>23</v>
      </c>
      <c r="C45" s="5">
        <v>-34.47</v>
      </c>
      <c r="D45" s="5">
        <f t="shared" si="1"/>
        <v>34.47</v>
      </c>
      <c r="E45" s="5" t="s">
        <v>13</v>
      </c>
      <c r="F45" s="5" t="s">
        <v>9</v>
      </c>
    </row>
    <row r="46" spans="1:6" ht="20" x14ac:dyDescent="0.25">
      <c r="A46" s="4">
        <v>45685</v>
      </c>
      <c r="B46" s="5" t="s">
        <v>25</v>
      </c>
      <c r="C46" s="5">
        <v>-3.88</v>
      </c>
      <c r="D46" s="5">
        <f t="shared" si="1"/>
        <v>3.88</v>
      </c>
      <c r="E46" s="5" t="s">
        <v>13</v>
      </c>
      <c r="F46" s="5" t="s">
        <v>12</v>
      </c>
    </row>
    <row r="47" spans="1:6" ht="20" x14ac:dyDescent="0.25">
      <c r="A47" s="4">
        <v>45685</v>
      </c>
      <c r="B47" s="5" t="s">
        <v>26</v>
      </c>
      <c r="C47" s="5">
        <v>-1.04</v>
      </c>
      <c r="D47" s="5">
        <f t="shared" si="1"/>
        <v>1.04</v>
      </c>
      <c r="E47" s="5" t="s">
        <v>11</v>
      </c>
      <c r="F47" s="5" t="s">
        <v>12</v>
      </c>
    </row>
    <row r="48" spans="1:6" ht="20" x14ac:dyDescent="0.25">
      <c r="A48" s="4">
        <v>45686</v>
      </c>
      <c r="B48" s="5" t="s">
        <v>24</v>
      </c>
      <c r="C48" s="5">
        <v>-7.18</v>
      </c>
      <c r="D48" s="5">
        <f t="shared" si="1"/>
        <v>7.18</v>
      </c>
      <c r="E48" s="5" t="s">
        <v>11</v>
      </c>
      <c r="F48" s="5" t="s">
        <v>12</v>
      </c>
    </row>
    <row r="49" spans="1:6" ht="20" x14ac:dyDescent="0.25">
      <c r="A49" s="4">
        <v>45687</v>
      </c>
      <c r="B49" s="5" t="s">
        <v>10</v>
      </c>
      <c r="C49" s="5">
        <v>-4.79</v>
      </c>
      <c r="D49" s="5">
        <f t="shared" si="1"/>
        <v>4.79</v>
      </c>
      <c r="E49" s="5" t="s">
        <v>11</v>
      </c>
      <c r="F49" s="5" t="s">
        <v>7</v>
      </c>
    </row>
    <row r="50" spans="1:6" ht="20" x14ac:dyDescent="0.25">
      <c r="A50" s="4">
        <v>45687</v>
      </c>
      <c r="B50" s="5" t="s">
        <v>23</v>
      </c>
      <c r="C50" s="5">
        <v>-96.94</v>
      </c>
      <c r="D50" s="5">
        <f t="shared" si="1"/>
        <v>96.94</v>
      </c>
      <c r="E50" s="5" t="s">
        <v>13</v>
      </c>
      <c r="F50" s="5" t="s">
        <v>9</v>
      </c>
    </row>
    <row r="51" spans="1:6" ht="20" x14ac:dyDescent="0.25">
      <c r="A51" s="4">
        <v>45687</v>
      </c>
      <c r="B51" s="5" t="s">
        <v>23</v>
      </c>
      <c r="C51" s="5">
        <v>-223.16</v>
      </c>
      <c r="D51" s="5">
        <f t="shared" si="1"/>
        <v>223.16</v>
      </c>
      <c r="E51" s="5" t="s">
        <v>13</v>
      </c>
      <c r="F51" s="5" t="s">
        <v>9</v>
      </c>
    </row>
    <row r="52" spans="1:6" ht="20" x14ac:dyDescent="0.25">
      <c r="A52" s="4">
        <v>45688</v>
      </c>
      <c r="B52" s="5" t="s">
        <v>20</v>
      </c>
      <c r="C52" s="5">
        <v>-179.63</v>
      </c>
      <c r="D52" s="5">
        <f t="shared" si="1"/>
        <v>179.63</v>
      </c>
      <c r="E52" s="5" t="s">
        <v>13</v>
      </c>
      <c r="F52" s="5" t="s">
        <v>9</v>
      </c>
    </row>
    <row r="53" spans="1:6" ht="20" x14ac:dyDescent="0.25">
      <c r="A53" s="4"/>
      <c r="B53" s="5"/>
      <c r="C53" s="5"/>
      <c r="D53" s="5"/>
      <c r="E53" s="5"/>
      <c r="F53" s="5"/>
    </row>
    <row r="54" spans="1:6" ht="20" x14ac:dyDescent="0.25">
      <c r="A54" s="4"/>
      <c r="B54" s="5" t="s">
        <v>42</v>
      </c>
      <c r="C54" s="5"/>
      <c r="D54" s="5">
        <f>SUM(Jan_25[Amount2])</f>
        <v>1338.1499999999996</v>
      </c>
      <c r="E54" s="5"/>
      <c r="F54" s="5"/>
    </row>
  </sheetData>
  <pageMargins left="0.7" right="0.7" top="0.75" bottom="0.75" header="0.3" footer="0.3"/>
  <ignoredErrors>
    <ignoredError sqref="D2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8D01-9F22-574F-91C0-D74540053BA3}">
  <dimension ref="A1:I53"/>
  <sheetViews>
    <sheetView workbookViewId="0">
      <pane ySplit="1" topLeftCell="A28" activePane="bottomLeft" state="frozen"/>
      <selection pane="bottomLeft" sqref="A1:F2"/>
    </sheetView>
  </sheetViews>
  <sheetFormatPr baseColWidth="10" defaultRowHeight="16" x14ac:dyDescent="0.2"/>
  <cols>
    <col min="2" max="2" width="39.6640625" bestFit="1" customWidth="1"/>
    <col min="3" max="3" width="9.5" hidden="1" customWidth="1"/>
    <col min="4" max="4" width="13.1640625" customWidth="1"/>
    <col min="5" max="5" width="22.6640625" bestFit="1" customWidth="1"/>
    <col min="6" max="6" width="50.83203125" bestFit="1" customWidth="1"/>
    <col min="8" max="8" width="15.6640625" bestFit="1" customWidth="1"/>
    <col min="9" max="9" width="13.5" bestFit="1" customWidth="1"/>
  </cols>
  <sheetData>
    <row r="1" spans="1:9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9" ht="20" x14ac:dyDescent="0.25">
      <c r="A2" s="4">
        <v>45689</v>
      </c>
      <c r="B2" s="5" t="s">
        <v>30</v>
      </c>
      <c r="C2" s="5">
        <v>-22.52</v>
      </c>
      <c r="D2" s="5">
        <f t="shared" ref="D2:D16" si="0">-C2</f>
        <v>22.52</v>
      </c>
      <c r="E2" s="5" t="s">
        <v>11</v>
      </c>
      <c r="F2" s="5" t="s">
        <v>9</v>
      </c>
      <c r="H2" s="26" t="s">
        <v>4</v>
      </c>
      <c r="I2" s="27" t="s">
        <v>44</v>
      </c>
    </row>
    <row r="3" spans="1:9" ht="20" x14ac:dyDescent="0.25">
      <c r="A3" s="4">
        <v>45689</v>
      </c>
      <c r="B3" s="5" t="s">
        <v>30</v>
      </c>
      <c r="C3" s="5">
        <v>-83.21</v>
      </c>
      <c r="D3" s="5">
        <f t="shared" si="0"/>
        <v>83.21</v>
      </c>
      <c r="E3" s="5" t="s">
        <v>11</v>
      </c>
      <c r="F3" s="5" t="s">
        <v>9</v>
      </c>
      <c r="H3" s="22" t="s">
        <v>16</v>
      </c>
      <c r="I3" s="28">
        <v>36.970000000000006</v>
      </c>
    </row>
    <row r="4" spans="1:9" ht="20" x14ac:dyDescent="0.25">
      <c r="A4" s="4">
        <v>45689</v>
      </c>
      <c r="B4" s="5" t="s">
        <v>30</v>
      </c>
      <c r="C4" s="5">
        <v>-48.51</v>
      </c>
      <c r="D4" s="5">
        <f t="shared" si="0"/>
        <v>48.51</v>
      </c>
      <c r="E4" s="5" t="s">
        <v>11</v>
      </c>
      <c r="F4" s="5" t="s">
        <v>9</v>
      </c>
      <c r="H4" s="22" t="s">
        <v>11</v>
      </c>
      <c r="I4" s="28">
        <v>395.98999999999995</v>
      </c>
    </row>
    <row r="5" spans="1:9" ht="20" x14ac:dyDescent="0.25">
      <c r="A5" s="4">
        <v>45690</v>
      </c>
      <c r="B5" s="5" t="s">
        <v>45</v>
      </c>
      <c r="C5" s="5">
        <v>-17.239999999999998</v>
      </c>
      <c r="D5" s="5">
        <f t="shared" si="0"/>
        <v>17.239999999999998</v>
      </c>
      <c r="E5" s="5" t="s">
        <v>6</v>
      </c>
      <c r="F5" s="5" t="s">
        <v>7</v>
      </c>
      <c r="H5" s="22" t="s">
        <v>14</v>
      </c>
      <c r="I5" s="28">
        <v>314.25</v>
      </c>
    </row>
    <row r="6" spans="1:9" ht="20" x14ac:dyDescent="0.25">
      <c r="A6" s="4">
        <v>45691</v>
      </c>
      <c r="B6" s="6" t="s">
        <v>46</v>
      </c>
      <c r="C6" s="5">
        <v>-33.340000000000003</v>
      </c>
      <c r="D6" s="5">
        <f t="shared" si="0"/>
        <v>33.340000000000003</v>
      </c>
      <c r="E6" s="5" t="s">
        <v>8</v>
      </c>
      <c r="F6" s="5" t="s">
        <v>47</v>
      </c>
      <c r="H6" s="22" t="s">
        <v>6</v>
      </c>
      <c r="I6" s="28">
        <v>84.960000000000008</v>
      </c>
    </row>
    <row r="7" spans="1:9" ht="20" x14ac:dyDescent="0.25">
      <c r="A7" s="4">
        <v>45692</v>
      </c>
      <c r="B7" s="5" t="s">
        <v>23</v>
      </c>
      <c r="C7" s="5">
        <v>-24.48</v>
      </c>
      <c r="D7" s="5">
        <f t="shared" si="0"/>
        <v>24.48</v>
      </c>
      <c r="E7" s="5" t="s">
        <v>13</v>
      </c>
      <c r="F7" s="5" t="s">
        <v>9</v>
      </c>
      <c r="H7" s="22" t="s">
        <v>8</v>
      </c>
      <c r="I7" s="28">
        <v>124.55</v>
      </c>
    </row>
    <row r="8" spans="1:9" ht="20" x14ac:dyDescent="0.25">
      <c r="A8" s="4">
        <v>45692</v>
      </c>
      <c r="B8" s="5" t="s">
        <v>50</v>
      </c>
      <c r="C8" s="5">
        <v>-45</v>
      </c>
      <c r="D8" s="5">
        <f t="shared" si="0"/>
        <v>45</v>
      </c>
      <c r="E8" s="5" t="s">
        <v>14</v>
      </c>
      <c r="F8" s="5" t="s">
        <v>51</v>
      </c>
      <c r="H8" s="22" t="s">
        <v>13</v>
      </c>
      <c r="I8" s="28">
        <v>924.88000000000011</v>
      </c>
    </row>
    <row r="9" spans="1:9" ht="20" x14ac:dyDescent="0.25">
      <c r="A9" s="4">
        <v>45692</v>
      </c>
      <c r="B9" s="5" t="s">
        <v>49</v>
      </c>
      <c r="C9" s="5">
        <v>-8</v>
      </c>
      <c r="D9" s="5">
        <f t="shared" si="0"/>
        <v>8</v>
      </c>
      <c r="E9" s="5" t="s">
        <v>16</v>
      </c>
      <c r="F9" s="5" t="s">
        <v>47</v>
      </c>
      <c r="H9" s="22" t="s">
        <v>39</v>
      </c>
      <c r="I9" s="28">
        <v>1881.6000000000001</v>
      </c>
    </row>
    <row r="10" spans="1:9" ht="20" x14ac:dyDescent="0.25">
      <c r="A10" s="4">
        <v>45692</v>
      </c>
      <c r="B10" s="5" t="s">
        <v>49</v>
      </c>
      <c r="C10" s="5">
        <v>-15.99</v>
      </c>
      <c r="D10" s="5">
        <f t="shared" si="0"/>
        <v>15.99</v>
      </c>
      <c r="E10" s="5" t="s">
        <v>16</v>
      </c>
      <c r="F10" s="5" t="s">
        <v>47</v>
      </c>
    </row>
    <row r="11" spans="1:9" ht="20" x14ac:dyDescent="0.25">
      <c r="A11" s="4">
        <v>45692</v>
      </c>
      <c r="B11" s="5" t="s">
        <v>48</v>
      </c>
      <c r="C11" s="5">
        <v>-2.89</v>
      </c>
      <c r="D11" s="5">
        <f t="shared" si="0"/>
        <v>2.89</v>
      </c>
      <c r="E11" s="5" t="s">
        <v>11</v>
      </c>
      <c r="F11" s="5" t="s">
        <v>7</v>
      </c>
    </row>
    <row r="12" spans="1:9" ht="20" x14ac:dyDescent="0.25">
      <c r="A12" s="4">
        <v>45692</v>
      </c>
      <c r="B12" s="5" t="s">
        <v>48</v>
      </c>
      <c r="C12" s="5">
        <v>-61.92</v>
      </c>
      <c r="D12" s="5">
        <f t="shared" si="0"/>
        <v>61.92</v>
      </c>
      <c r="E12" s="5" t="s">
        <v>11</v>
      </c>
      <c r="F12" s="5" t="s">
        <v>7</v>
      </c>
    </row>
    <row r="13" spans="1:9" ht="20" x14ac:dyDescent="0.25">
      <c r="A13" s="4">
        <v>45692</v>
      </c>
      <c r="B13" s="5" t="s">
        <v>36</v>
      </c>
      <c r="C13" s="5">
        <v>-12.85</v>
      </c>
      <c r="D13" s="5">
        <f t="shared" si="0"/>
        <v>12.85</v>
      </c>
      <c r="E13" s="5" t="s">
        <v>6</v>
      </c>
      <c r="F13" s="5" t="s">
        <v>7</v>
      </c>
    </row>
    <row r="14" spans="1:9" ht="20" x14ac:dyDescent="0.25">
      <c r="A14" s="4">
        <v>45693</v>
      </c>
      <c r="B14" s="5" t="s">
        <v>41</v>
      </c>
      <c r="C14" s="5">
        <v>-4.25</v>
      </c>
      <c r="D14" s="5">
        <f t="shared" si="0"/>
        <v>4.25</v>
      </c>
      <c r="E14" s="5" t="s">
        <v>8</v>
      </c>
      <c r="F14" s="5" t="s">
        <v>9</v>
      </c>
    </row>
    <row r="15" spans="1:9" ht="20" x14ac:dyDescent="0.25">
      <c r="A15" s="4">
        <v>45693</v>
      </c>
      <c r="B15" s="5" t="s">
        <v>41</v>
      </c>
      <c r="C15" s="5">
        <v>-5</v>
      </c>
      <c r="D15" s="5">
        <f t="shared" si="0"/>
        <v>5</v>
      </c>
      <c r="E15" s="5" t="s">
        <v>8</v>
      </c>
      <c r="F15" s="5" t="s">
        <v>9</v>
      </c>
    </row>
    <row r="16" spans="1:9" ht="20" x14ac:dyDescent="0.25">
      <c r="A16" s="4">
        <v>45694</v>
      </c>
      <c r="B16" s="5" t="s">
        <v>10</v>
      </c>
      <c r="C16" s="5">
        <v>-64.28</v>
      </c>
      <c r="D16" s="5">
        <f t="shared" si="0"/>
        <v>64.28</v>
      </c>
      <c r="E16" s="5" t="s">
        <v>11</v>
      </c>
      <c r="F16" s="5" t="s">
        <v>47</v>
      </c>
    </row>
    <row r="17" spans="1:6" ht="20" x14ac:dyDescent="0.25">
      <c r="A17" s="4">
        <v>45694</v>
      </c>
      <c r="B17" s="5" t="s">
        <v>30</v>
      </c>
      <c r="C17" s="5">
        <v>-74.95</v>
      </c>
      <c r="D17" s="5">
        <f>-C17-27.21</f>
        <v>47.74</v>
      </c>
      <c r="E17" s="5" t="s">
        <v>11</v>
      </c>
      <c r="F17" s="5" t="s">
        <v>47</v>
      </c>
    </row>
    <row r="18" spans="1:6" ht="20" x14ac:dyDescent="0.25">
      <c r="A18" s="4">
        <v>45694</v>
      </c>
      <c r="B18" s="5" t="s">
        <v>52</v>
      </c>
      <c r="C18" s="5">
        <v>-6.53</v>
      </c>
      <c r="D18" s="5">
        <f t="shared" ref="D18:D45" si="1">-C18</f>
        <v>6.53</v>
      </c>
      <c r="E18" s="5" t="s">
        <v>14</v>
      </c>
      <c r="F18" s="5" t="s">
        <v>47</v>
      </c>
    </row>
    <row r="19" spans="1:6" ht="20" x14ac:dyDescent="0.25">
      <c r="A19" s="4">
        <v>45695</v>
      </c>
      <c r="B19" s="5" t="s">
        <v>41</v>
      </c>
      <c r="C19" s="5">
        <v>-4.25</v>
      </c>
      <c r="D19" s="5">
        <f t="shared" si="1"/>
        <v>4.25</v>
      </c>
      <c r="E19" s="5" t="s">
        <v>8</v>
      </c>
      <c r="F19" s="5" t="s">
        <v>9</v>
      </c>
    </row>
    <row r="20" spans="1:6" ht="20" x14ac:dyDescent="0.25">
      <c r="A20" s="4">
        <v>45695</v>
      </c>
      <c r="B20" s="5" t="s">
        <v>41</v>
      </c>
      <c r="C20" s="5">
        <v>-5</v>
      </c>
      <c r="D20" s="5">
        <f t="shared" si="1"/>
        <v>5</v>
      </c>
      <c r="E20" s="5" t="s">
        <v>8</v>
      </c>
      <c r="F20" s="5" t="s">
        <v>9</v>
      </c>
    </row>
    <row r="21" spans="1:6" ht="20" x14ac:dyDescent="0.25">
      <c r="A21" s="4">
        <v>45695</v>
      </c>
      <c r="B21" s="5" t="s">
        <v>41</v>
      </c>
      <c r="C21" s="5">
        <v>-5</v>
      </c>
      <c r="D21" s="5">
        <f t="shared" si="1"/>
        <v>5</v>
      </c>
      <c r="E21" s="5" t="s">
        <v>8</v>
      </c>
      <c r="F21" s="5" t="s">
        <v>9</v>
      </c>
    </row>
    <row r="22" spans="1:6" ht="20" x14ac:dyDescent="0.25">
      <c r="A22" s="4">
        <v>45695</v>
      </c>
      <c r="B22" s="5" t="s">
        <v>20</v>
      </c>
      <c r="C22" s="5">
        <v>-8.81</v>
      </c>
      <c r="D22" s="5">
        <f t="shared" si="1"/>
        <v>8.81</v>
      </c>
      <c r="E22" s="5" t="s">
        <v>13</v>
      </c>
      <c r="F22" s="5" t="s">
        <v>9</v>
      </c>
    </row>
    <row r="23" spans="1:6" ht="20" x14ac:dyDescent="0.25">
      <c r="A23" s="4">
        <v>45695</v>
      </c>
      <c r="B23" s="5" t="s">
        <v>15</v>
      </c>
      <c r="C23" s="5">
        <v>-9.99</v>
      </c>
      <c r="D23" s="5">
        <f t="shared" si="1"/>
        <v>9.99</v>
      </c>
      <c r="E23" s="5" t="s">
        <v>16</v>
      </c>
      <c r="F23" s="5" t="s">
        <v>9</v>
      </c>
    </row>
    <row r="24" spans="1:6" ht="20" x14ac:dyDescent="0.25">
      <c r="A24" s="4">
        <v>45695</v>
      </c>
      <c r="B24" s="5" t="s">
        <v>54</v>
      </c>
      <c r="C24" s="5">
        <v>-4.3899999999999997</v>
      </c>
      <c r="D24" s="5">
        <f t="shared" si="1"/>
        <v>4.3899999999999997</v>
      </c>
      <c r="E24" s="5" t="s">
        <v>6</v>
      </c>
      <c r="F24" s="5" t="s">
        <v>47</v>
      </c>
    </row>
    <row r="25" spans="1:6" ht="20" x14ac:dyDescent="0.25">
      <c r="A25" s="4">
        <v>45695</v>
      </c>
      <c r="B25" s="5" t="s">
        <v>53</v>
      </c>
      <c r="C25" s="5">
        <v>-3.27</v>
      </c>
      <c r="D25" s="5">
        <f t="shared" si="1"/>
        <v>3.27</v>
      </c>
      <c r="E25" s="5" t="s">
        <v>6</v>
      </c>
      <c r="F25" s="5" t="s">
        <v>47</v>
      </c>
    </row>
    <row r="26" spans="1:6" ht="20" x14ac:dyDescent="0.25">
      <c r="A26" s="4">
        <v>45696</v>
      </c>
      <c r="B26" s="5" t="s">
        <v>50</v>
      </c>
      <c r="C26" s="5">
        <v>-5.6</v>
      </c>
      <c r="D26" s="5">
        <f t="shared" si="1"/>
        <v>5.6</v>
      </c>
      <c r="E26" s="5" t="s">
        <v>14</v>
      </c>
      <c r="F26" s="5" t="s">
        <v>51</v>
      </c>
    </row>
    <row r="27" spans="1:6" ht="20" x14ac:dyDescent="0.25">
      <c r="A27" s="4">
        <v>45696</v>
      </c>
      <c r="B27" s="5" t="s">
        <v>55</v>
      </c>
      <c r="C27" s="5">
        <v>-35.58</v>
      </c>
      <c r="D27" s="5">
        <f t="shared" si="1"/>
        <v>35.58</v>
      </c>
      <c r="E27" s="5" t="s">
        <v>6</v>
      </c>
      <c r="F27" s="5" t="s">
        <v>7</v>
      </c>
    </row>
    <row r="28" spans="1:6" ht="20" x14ac:dyDescent="0.25">
      <c r="A28" s="4">
        <v>45699</v>
      </c>
      <c r="B28" s="5" t="s">
        <v>41</v>
      </c>
      <c r="C28" s="5">
        <v>-2.97</v>
      </c>
      <c r="D28" s="5">
        <f t="shared" si="1"/>
        <v>2.97</v>
      </c>
      <c r="E28" s="5" t="s">
        <v>8</v>
      </c>
      <c r="F28" s="5" t="s">
        <v>9</v>
      </c>
    </row>
    <row r="29" spans="1:6" ht="20" x14ac:dyDescent="0.25">
      <c r="A29" s="4">
        <v>45699</v>
      </c>
      <c r="B29" s="5" t="s">
        <v>57</v>
      </c>
      <c r="C29" s="5">
        <v>-3.39</v>
      </c>
      <c r="D29" s="5">
        <f t="shared" si="1"/>
        <v>3.39</v>
      </c>
      <c r="E29" s="5" t="s">
        <v>6</v>
      </c>
      <c r="F29" s="5" t="s">
        <v>7</v>
      </c>
    </row>
    <row r="30" spans="1:6" ht="20" x14ac:dyDescent="0.25">
      <c r="A30" s="4">
        <v>45699</v>
      </c>
      <c r="B30" s="5" t="s">
        <v>56</v>
      </c>
      <c r="C30" s="5">
        <v>-35</v>
      </c>
      <c r="D30" s="5">
        <f t="shared" si="1"/>
        <v>35</v>
      </c>
      <c r="E30" s="5" t="s">
        <v>13</v>
      </c>
      <c r="F30" s="5" t="s">
        <v>7</v>
      </c>
    </row>
    <row r="31" spans="1:6" ht="20" x14ac:dyDescent="0.25">
      <c r="A31" s="4">
        <v>45700</v>
      </c>
      <c r="B31" s="5" t="s">
        <v>41</v>
      </c>
      <c r="C31" s="5">
        <v>-5</v>
      </c>
      <c r="D31" s="5">
        <f t="shared" si="1"/>
        <v>5</v>
      </c>
      <c r="E31" s="5" t="s">
        <v>8</v>
      </c>
      <c r="F31" s="5" t="s">
        <v>9</v>
      </c>
    </row>
    <row r="32" spans="1:6" ht="20" x14ac:dyDescent="0.25">
      <c r="A32" s="4">
        <v>45700</v>
      </c>
      <c r="B32" s="5" t="s">
        <v>41</v>
      </c>
      <c r="C32" s="5">
        <v>-5</v>
      </c>
      <c r="D32" s="5">
        <f t="shared" si="1"/>
        <v>5</v>
      </c>
      <c r="E32" s="5" t="s">
        <v>8</v>
      </c>
      <c r="F32" s="5" t="s">
        <v>9</v>
      </c>
    </row>
    <row r="33" spans="1:6" ht="20" x14ac:dyDescent="0.25">
      <c r="A33" s="4">
        <v>45700</v>
      </c>
      <c r="B33" s="5" t="s">
        <v>41</v>
      </c>
      <c r="C33" s="5">
        <v>-4.25</v>
      </c>
      <c r="D33" s="5">
        <f t="shared" si="1"/>
        <v>4.25</v>
      </c>
      <c r="E33" s="5" t="s">
        <v>8</v>
      </c>
      <c r="F33" s="5" t="s">
        <v>9</v>
      </c>
    </row>
    <row r="34" spans="1:6" ht="20" x14ac:dyDescent="0.25">
      <c r="A34" s="4">
        <v>45700</v>
      </c>
      <c r="B34" s="5" t="s">
        <v>53</v>
      </c>
      <c r="C34" s="5">
        <v>-4.9000000000000004</v>
      </c>
      <c r="D34" s="5">
        <f t="shared" si="1"/>
        <v>4.9000000000000004</v>
      </c>
      <c r="E34" s="5" t="s">
        <v>6</v>
      </c>
      <c r="F34" s="5" t="s">
        <v>7</v>
      </c>
    </row>
    <row r="35" spans="1:6" ht="20" x14ac:dyDescent="0.25">
      <c r="A35" s="4">
        <v>45701</v>
      </c>
      <c r="B35" s="5" t="s">
        <v>41</v>
      </c>
      <c r="C35" s="5">
        <v>-5</v>
      </c>
      <c r="D35" s="5">
        <f t="shared" si="1"/>
        <v>5</v>
      </c>
      <c r="E35" s="5" t="s">
        <v>8</v>
      </c>
      <c r="F35" s="5" t="s">
        <v>9</v>
      </c>
    </row>
    <row r="36" spans="1:6" ht="20" x14ac:dyDescent="0.25">
      <c r="A36" s="4">
        <v>45701</v>
      </c>
      <c r="B36" s="5" t="s">
        <v>59</v>
      </c>
      <c r="C36" s="5">
        <v>-3.34</v>
      </c>
      <c r="D36" s="5">
        <f t="shared" si="1"/>
        <v>3.34</v>
      </c>
      <c r="E36" s="5" t="s">
        <v>6</v>
      </c>
      <c r="F36" s="5" t="s">
        <v>7</v>
      </c>
    </row>
    <row r="37" spans="1:6" ht="20" x14ac:dyDescent="0.25">
      <c r="A37" s="4">
        <v>45701</v>
      </c>
      <c r="B37" s="5" t="s">
        <v>58</v>
      </c>
      <c r="C37" s="5">
        <v>-20</v>
      </c>
      <c r="D37" s="5">
        <f t="shared" si="1"/>
        <v>20</v>
      </c>
      <c r="E37" s="5" t="s">
        <v>8</v>
      </c>
      <c r="F37" s="5" t="s">
        <v>21</v>
      </c>
    </row>
    <row r="38" spans="1:6" ht="20" x14ac:dyDescent="0.25">
      <c r="A38" s="4">
        <v>45704</v>
      </c>
      <c r="B38" s="5" t="s">
        <v>48</v>
      </c>
      <c r="C38" s="5">
        <v>-5.0999999999999996</v>
      </c>
      <c r="D38" s="5">
        <f t="shared" si="1"/>
        <v>5.0999999999999996</v>
      </c>
      <c r="E38" s="5" t="s">
        <v>11</v>
      </c>
      <c r="F38" s="5" t="s">
        <v>7</v>
      </c>
    </row>
    <row r="39" spans="1:6" ht="20" x14ac:dyDescent="0.25">
      <c r="A39" s="4">
        <v>45706</v>
      </c>
      <c r="B39" s="5" t="s">
        <v>15</v>
      </c>
      <c r="C39" s="5">
        <v>-2.99</v>
      </c>
      <c r="D39" s="5">
        <f t="shared" si="1"/>
        <v>2.99</v>
      </c>
      <c r="E39" s="5" t="s">
        <v>16</v>
      </c>
      <c r="F39" s="5" t="s">
        <v>9</v>
      </c>
    </row>
    <row r="40" spans="1:6" ht="20" x14ac:dyDescent="0.25">
      <c r="A40" s="4">
        <v>45706</v>
      </c>
      <c r="B40" s="6" t="s">
        <v>63</v>
      </c>
      <c r="C40" s="5">
        <v>-0.49</v>
      </c>
      <c r="D40" s="5">
        <f t="shared" si="1"/>
        <v>0.49</v>
      </c>
      <c r="E40" s="5" t="s">
        <v>8</v>
      </c>
      <c r="F40" s="5" t="s">
        <v>7</v>
      </c>
    </row>
    <row r="41" spans="1:6" ht="20" x14ac:dyDescent="0.25">
      <c r="A41" s="4">
        <v>45707</v>
      </c>
      <c r="B41" s="5" t="s">
        <v>50</v>
      </c>
      <c r="C41" s="5">
        <v>-154.02000000000001</v>
      </c>
      <c r="D41" s="5">
        <f t="shared" si="1"/>
        <v>154.02000000000001</v>
      </c>
      <c r="E41" s="5" t="s">
        <v>14</v>
      </c>
      <c r="F41" s="5" t="s">
        <v>51</v>
      </c>
    </row>
    <row r="42" spans="1:6" ht="20" x14ac:dyDescent="0.25">
      <c r="A42" s="4">
        <v>45708</v>
      </c>
      <c r="B42" s="5" t="s">
        <v>10</v>
      </c>
      <c r="C42" s="5">
        <v>-18.45</v>
      </c>
      <c r="D42" s="5">
        <f t="shared" si="1"/>
        <v>18.45</v>
      </c>
      <c r="E42" s="5" t="s">
        <v>11</v>
      </c>
      <c r="F42" s="5" t="s">
        <v>47</v>
      </c>
    </row>
    <row r="43" spans="1:6" ht="20" x14ac:dyDescent="0.25">
      <c r="A43" s="4">
        <v>45708</v>
      </c>
      <c r="B43" s="5" t="s">
        <v>60</v>
      </c>
      <c r="C43" s="5">
        <v>-36.380000000000003</v>
      </c>
      <c r="D43" s="5">
        <f t="shared" si="1"/>
        <v>36.380000000000003</v>
      </c>
      <c r="E43" s="5" t="s">
        <v>11</v>
      </c>
      <c r="F43" s="5" t="s">
        <v>47</v>
      </c>
    </row>
    <row r="44" spans="1:6" ht="20" x14ac:dyDescent="0.25">
      <c r="A44" s="4">
        <v>45710</v>
      </c>
      <c r="B44" s="5" t="s">
        <v>23</v>
      </c>
      <c r="C44" s="5">
        <v>-65.040000000000006</v>
      </c>
      <c r="D44" s="5">
        <f t="shared" si="1"/>
        <v>65.040000000000006</v>
      </c>
      <c r="E44" s="5" t="s">
        <v>13</v>
      </c>
      <c r="F44" s="5" t="s">
        <v>9</v>
      </c>
    </row>
    <row r="45" spans="1:6" ht="20" x14ac:dyDescent="0.25">
      <c r="A45" s="4">
        <v>45710</v>
      </c>
      <c r="B45" s="5" t="s">
        <v>20</v>
      </c>
      <c r="C45" s="5">
        <v>-108.86</v>
      </c>
      <c r="D45" s="5">
        <f t="shared" si="1"/>
        <v>108.86</v>
      </c>
      <c r="E45" s="5" t="s">
        <v>13</v>
      </c>
      <c r="F45" s="5" t="s">
        <v>9</v>
      </c>
    </row>
    <row r="46" spans="1:6" ht="20" x14ac:dyDescent="0.25">
      <c r="A46" s="4">
        <v>45711</v>
      </c>
      <c r="B46" s="5" t="s">
        <v>20</v>
      </c>
      <c r="C46" s="5">
        <v>-301.42</v>
      </c>
      <c r="D46" s="5">
        <f>-C46-147.87</f>
        <v>153.55000000000001</v>
      </c>
      <c r="E46" s="5" t="s">
        <v>13</v>
      </c>
      <c r="F46" s="5" t="s">
        <v>9</v>
      </c>
    </row>
    <row r="47" spans="1:6" ht="20" x14ac:dyDescent="0.25">
      <c r="A47" s="4">
        <v>45712</v>
      </c>
      <c r="B47" s="5" t="s">
        <v>20</v>
      </c>
      <c r="C47" s="5">
        <v>-195.96</v>
      </c>
      <c r="D47" s="5">
        <f t="shared" ref="D47:D53" si="2">-C47</f>
        <v>195.96</v>
      </c>
      <c r="E47" s="5" t="s">
        <v>13</v>
      </c>
      <c r="F47" s="5" t="s">
        <v>9</v>
      </c>
    </row>
    <row r="48" spans="1:6" ht="20" x14ac:dyDescent="0.25">
      <c r="A48" s="4">
        <v>45712</v>
      </c>
      <c r="B48" s="5" t="s">
        <v>61</v>
      </c>
      <c r="C48" s="5">
        <v>-14</v>
      </c>
      <c r="D48" s="5">
        <f t="shared" si="2"/>
        <v>14</v>
      </c>
      <c r="E48" s="5" t="s">
        <v>13</v>
      </c>
      <c r="F48" s="5" t="s">
        <v>47</v>
      </c>
    </row>
    <row r="49" spans="1:6" ht="20" x14ac:dyDescent="0.25">
      <c r="A49" s="4">
        <v>45712</v>
      </c>
      <c r="B49" s="5" t="s">
        <v>61</v>
      </c>
      <c r="C49" s="5">
        <v>-42.5</v>
      </c>
      <c r="D49" s="5">
        <f t="shared" si="2"/>
        <v>42.5</v>
      </c>
      <c r="E49" s="5" t="s">
        <v>13</v>
      </c>
      <c r="F49" s="5" t="s">
        <v>47</v>
      </c>
    </row>
    <row r="50" spans="1:6" ht="20" x14ac:dyDescent="0.25">
      <c r="A50" s="4">
        <v>45713</v>
      </c>
      <c r="B50" s="5" t="s">
        <v>62</v>
      </c>
      <c r="C50" s="5">
        <v>-25</v>
      </c>
      <c r="D50" s="5">
        <f t="shared" si="2"/>
        <v>25</v>
      </c>
      <c r="E50" s="5" t="s">
        <v>8</v>
      </c>
      <c r="F50" s="5" t="s">
        <v>47</v>
      </c>
    </row>
    <row r="51" spans="1:6" ht="20" x14ac:dyDescent="0.25">
      <c r="A51" s="4">
        <v>45713</v>
      </c>
      <c r="B51" s="5" t="s">
        <v>56</v>
      </c>
      <c r="C51" s="5">
        <v>-37.72</v>
      </c>
      <c r="D51" s="5">
        <f t="shared" si="2"/>
        <v>37.72</v>
      </c>
      <c r="E51" s="5" t="s">
        <v>13</v>
      </c>
      <c r="F51" s="5" t="s">
        <v>47</v>
      </c>
    </row>
    <row r="52" spans="1:6" ht="20" x14ac:dyDescent="0.25">
      <c r="A52" s="4">
        <v>45714</v>
      </c>
      <c r="B52" s="5" t="s">
        <v>23</v>
      </c>
      <c r="C52" s="5">
        <v>-238.96</v>
      </c>
      <c r="D52" s="5">
        <f t="shared" si="2"/>
        <v>238.96</v>
      </c>
      <c r="E52" s="5" t="s">
        <v>13</v>
      </c>
      <c r="F52" s="5" t="s">
        <v>9</v>
      </c>
    </row>
    <row r="53" spans="1:6" ht="20" x14ac:dyDescent="0.25">
      <c r="A53" s="4">
        <v>45714</v>
      </c>
      <c r="B53" s="5" t="s">
        <v>24</v>
      </c>
      <c r="C53" s="5">
        <v>-4.99</v>
      </c>
      <c r="D53" s="5">
        <f t="shared" si="2"/>
        <v>4.99</v>
      </c>
      <c r="E53" s="5" t="s">
        <v>11</v>
      </c>
      <c r="F53" s="5" t="s">
        <v>47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785F-B677-B24B-AAE8-199A04795FBB}">
  <dimension ref="A1:I61"/>
  <sheetViews>
    <sheetView topLeftCell="A23" workbookViewId="0">
      <selection activeCell="F17" sqref="F17"/>
    </sheetView>
  </sheetViews>
  <sheetFormatPr baseColWidth="10" defaultRowHeight="16" x14ac:dyDescent="0.2"/>
  <cols>
    <col min="2" max="2" width="33.33203125" bestFit="1" customWidth="1"/>
    <col min="3" max="3" width="11.83203125" hidden="1" customWidth="1"/>
    <col min="4" max="4" width="13.33203125" bestFit="1" customWidth="1"/>
    <col min="5" max="5" width="22.6640625" bestFit="1" customWidth="1"/>
    <col min="6" max="6" width="50.83203125" bestFit="1" customWidth="1"/>
    <col min="8" max="8" width="22.6640625" bestFit="1" customWidth="1"/>
    <col min="9" max="9" width="11.5" bestFit="1" customWidth="1"/>
  </cols>
  <sheetData>
    <row r="1" spans="1:9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9" ht="20" x14ac:dyDescent="0.25">
      <c r="A2" s="4">
        <v>45719</v>
      </c>
      <c r="B2" s="5" t="s">
        <v>23</v>
      </c>
      <c r="C2" s="5">
        <v>-2.87</v>
      </c>
      <c r="D2" s="21">
        <f>-Mar_25[[#This Row],[Amount]]</f>
        <v>2.87</v>
      </c>
      <c r="E2" s="5" t="s">
        <v>69</v>
      </c>
      <c r="F2" s="5" t="s">
        <v>9</v>
      </c>
      <c r="H2" s="34" t="s">
        <v>4</v>
      </c>
      <c r="I2" s="34" t="s">
        <v>44</v>
      </c>
    </row>
    <row r="3" spans="1:9" ht="20" x14ac:dyDescent="0.25">
      <c r="A3" s="4">
        <v>45719</v>
      </c>
      <c r="B3" s="5" t="s">
        <v>30</v>
      </c>
      <c r="C3" s="5">
        <v>-4.1399999999999997</v>
      </c>
      <c r="D3" s="21">
        <f>-Mar_25[[#This Row],[Amount]]+6.21+11.31+12.4+25.63+35.88-6.08-8.61-1.12</f>
        <v>79.759999999999991</v>
      </c>
      <c r="E3" s="5" t="s">
        <v>11</v>
      </c>
      <c r="F3" s="5" t="s">
        <v>21</v>
      </c>
      <c r="H3" s="29" t="s">
        <v>16</v>
      </c>
      <c r="I3" s="33">
        <v>19.46</v>
      </c>
    </row>
    <row r="4" spans="1:9" ht="20" x14ac:dyDescent="0.25">
      <c r="A4" s="4">
        <v>45719</v>
      </c>
      <c r="B4" s="5" t="s">
        <v>58</v>
      </c>
      <c r="C4" s="5">
        <v>-16.64</v>
      </c>
      <c r="D4" s="21">
        <f>-Mar_25[[#This Row],[Amount]]</f>
        <v>16.64</v>
      </c>
      <c r="E4" s="5" t="s">
        <v>74</v>
      </c>
      <c r="F4" s="5" t="s">
        <v>21</v>
      </c>
      <c r="H4" s="29" t="s">
        <v>69</v>
      </c>
      <c r="I4" s="33">
        <v>29.430000000000003</v>
      </c>
    </row>
    <row r="5" spans="1:9" ht="20" x14ac:dyDescent="0.25">
      <c r="A5" s="4">
        <v>45719</v>
      </c>
      <c r="B5" s="5" t="s">
        <v>50</v>
      </c>
      <c r="C5" s="5">
        <v>-5.6</v>
      </c>
      <c r="D5" s="21">
        <f>-Mar_25[[#This Row],[Amount]]</f>
        <v>5.6</v>
      </c>
      <c r="E5" s="5" t="s">
        <v>14</v>
      </c>
      <c r="F5" s="5" t="s">
        <v>51</v>
      </c>
      <c r="H5" s="29" t="s">
        <v>11</v>
      </c>
      <c r="I5" s="33">
        <v>230.14999999999998</v>
      </c>
    </row>
    <row r="6" spans="1:9" ht="20" x14ac:dyDescent="0.25">
      <c r="A6" s="4">
        <v>45719</v>
      </c>
      <c r="B6" s="6" t="s">
        <v>46</v>
      </c>
      <c r="C6" s="5">
        <v>-33.340000000000003</v>
      </c>
      <c r="D6" s="21">
        <f>-Mar_25[[#This Row],[Amount]]</f>
        <v>33.340000000000003</v>
      </c>
      <c r="E6" s="5" t="s">
        <v>79</v>
      </c>
      <c r="F6" s="5" t="s">
        <v>47</v>
      </c>
      <c r="H6" s="29" t="s">
        <v>74</v>
      </c>
      <c r="I6" s="33">
        <v>16.64</v>
      </c>
    </row>
    <row r="7" spans="1:9" ht="20" x14ac:dyDescent="0.25">
      <c r="A7" s="4">
        <v>45720</v>
      </c>
      <c r="B7" s="5" t="s">
        <v>10</v>
      </c>
      <c r="C7" s="5">
        <v>-61.32</v>
      </c>
      <c r="D7" s="21">
        <f>-Mar_25[[#This Row],[Amount]]</f>
        <v>61.32</v>
      </c>
      <c r="E7" s="5" t="s">
        <v>11</v>
      </c>
      <c r="F7" s="5" t="s">
        <v>47</v>
      </c>
      <c r="H7" s="29" t="s">
        <v>79</v>
      </c>
      <c r="I7" s="33">
        <v>129.36000000000001</v>
      </c>
    </row>
    <row r="8" spans="1:9" ht="20" x14ac:dyDescent="0.25">
      <c r="A8" s="4">
        <v>45722</v>
      </c>
      <c r="B8" s="5" t="s">
        <v>96</v>
      </c>
      <c r="C8" s="5">
        <v>-6.53</v>
      </c>
      <c r="D8" s="21">
        <f>-Mar_25[[#This Row],[Amount]]</f>
        <v>6.53</v>
      </c>
      <c r="E8" s="5" t="s">
        <v>65</v>
      </c>
      <c r="F8" s="5" t="s">
        <v>7</v>
      </c>
      <c r="H8" s="29" t="s">
        <v>65</v>
      </c>
      <c r="I8" s="33">
        <v>6.53</v>
      </c>
    </row>
    <row r="9" spans="1:9" ht="20" x14ac:dyDescent="0.25">
      <c r="A9" s="4">
        <v>45722</v>
      </c>
      <c r="B9" s="5" t="s">
        <v>97</v>
      </c>
      <c r="C9" s="5">
        <v>-6.53</v>
      </c>
      <c r="D9" s="21">
        <f>-Mar_25[[#This Row],[Amount]]</f>
        <v>6.53</v>
      </c>
      <c r="E9" s="5" t="s">
        <v>11</v>
      </c>
      <c r="F9" s="5" t="s">
        <v>7</v>
      </c>
      <c r="H9" s="29" t="s">
        <v>71</v>
      </c>
      <c r="I9" s="33">
        <v>-49.25</v>
      </c>
    </row>
    <row r="10" spans="1:9" ht="20" x14ac:dyDescent="0.25">
      <c r="A10" s="4">
        <v>45722</v>
      </c>
      <c r="B10" s="6" t="s">
        <v>23</v>
      </c>
      <c r="C10" s="5">
        <v>54.42</v>
      </c>
      <c r="D10" s="21">
        <f>-Mar_25[[#This Row],[Amount]]</f>
        <v>-54.42</v>
      </c>
      <c r="E10" s="5" t="s">
        <v>8</v>
      </c>
      <c r="F10" s="5" t="s">
        <v>9</v>
      </c>
      <c r="H10" s="29" t="s">
        <v>14</v>
      </c>
      <c r="I10" s="33">
        <v>15.59</v>
      </c>
    </row>
    <row r="11" spans="1:9" ht="20" x14ac:dyDescent="0.25">
      <c r="A11" s="4">
        <v>45723</v>
      </c>
      <c r="B11" s="5" t="s">
        <v>41</v>
      </c>
      <c r="C11" s="5">
        <v>-5</v>
      </c>
      <c r="D11" s="21">
        <f>-Mar_25[[#This Row],[Amount]]</f>
        <v>5</v>
      </c>
      <c r="E11" s="5" t="s">
        <v>8</v>
      </c>
      <c r="F11" s="5" t="s">
        <v>7</v>
      </c>
      <c r="H11" s="29" t="s">
        <v>8</v>
      </c>
      <c r="I11" s="33">
        <v>-69.61</v>
      </c>
    </row>
    <row r="12" spans="1:9" ht="20" x14ac:dyDescent="0.25">
      <c r="A12" s="4">
        <v>45723</v>
      </c>
      <c r="B12" s="5" t="s">
        <v>41</v>
      </c>
      <c r="C12" s="5">
        <v>-5</v>
      </c>
      <c r="D12" s="21">
        <f>-Mar_25[[#This Row],[Amount]]</f>
        <v>5</v>
      </c>
      <c r="E12" s="5" t="s">
        <v>8</v>
      </c>
      <c r="F12" s="5" t="s">
        <v>7</v>
      </c>
      <c r="H12" s="29" t="s">
        <v>6</v>
      </c>
      <c r="I12" s="33">
        <v>285.83166666666659</v>
      </c>
    </row>
    <row r="13" spans="1:9" ht="20" x14ac:dyDescent="0.25">
      <c r="A13" s="4">
        <v>45723</v>
      </c>
      <c r="B13" s="5" t="s">
        <v>15</v>
      </c>
      <c r="C13" s="5">
        <v>-9.99</v>
      </c>
      <c r="D13" s="21">
        <f>-Mar_25[[#This Row],[Amount]]</f>
        <v>9.99</v>
      </c>
      <c r="E13" s="5" t="s">
        <v>8</v>
      </c>
      <c r="F13" s="5" t="s">
        <v>9</v>
      </c>
      <c r="H13" s="29" t="s">
        <v>98</v>
      </c>
      <c r="I13" s="33">
        <v>48.39</v>
      </c>
    </row>
    <row r="14" spans="1:9" ht="20" x14ac:dyDescent="0.25">
      <c r="A14" s="4">
        <v>45723</v>
      </c>
      <c r="B14" s="5" t="s">
        <v>95</v>
      </c>
      <c r="C14" s="5">
        <v>-6.5</v>
      </c>
      <c r="D14" s="21">
        <f>-Mar_25[[#This Row],[Amount]]</f>
        <v>6.5</v>
      </c>
      <c r="E14" s="5" t="s">
        <v>8</v>
      </c>
      <c r="F14" s="5" t="s">
        <v>47</v>
      </c>
      <c r="H14" s="29" t="s">
        <v>43</v>
      </c>
      <c r="I14" s="33">
        <v>22.727272727272727</v>
      </c>
    </row>
    <row r="15" spans="1:9" ht="20" x14ac:dyDescent="0.25">
      <c r="A15" s="4">
        <v>45724</v>
      </c>
      <c r="B15" s="5" t="s">
        <v>68</v>
      </c>
      <c r="C15" s="5">
        <v>-7.41</v>
      </c>
      <c r="D15" s="21">
        <f>-Mar_25[[#This Row],[Amount]]</f>
        <v>7.41</v>
      </c>
      <c r="E15" s="5" t="s">
        <v>6</v>
      </c>
      <c r="F15" s="5" t="s">
        <v>9</v>
      </c>
      <c r="H15" s="35" t="s">
        <v>39</v>
      </c>
      <c r="I15" s="36">
        <v>685.24893939393917</v>
      </c>
    </row>
    <row r="16" spans="1:9" ht="20" x14ac:dyDescent="0.25">
      <c r="A16" s="4">
        <v>45724</v>
      </c>
      <c r="B16" s="5" t="s">
        <v>75</v>
      </c>
      <c r="C16" s="5">
        <v>-9.69</v>
      </c>
      <c r="D16" s="21">
        <f>-Mar_25[[#This Row],[Amount]]</f>
        <v>9.69</v>
      </c>
      <c r="E16" s="5" t="s">
        <v>6</v>
      </c>
      <c r="F16" s="5" t="s">
        <v>7</v>
      </c>
    </row>
    <row r="17" spans="1:6" ht="20" x14ac:dyDescent="0.25">
      <c r="A17" s="4">
        <v>45726</v>
      </c>
      <c r="B17" s="5" t="s">
        <v>73</v>
      </c>
      <c r="C17" s="5">
        <v>-10</v>
      </c>
      <c r="D17" s="21">
        <f>-Mar_25[[#This Row],[Amount]]</f>
        <v>10</v>
      </c>
      <c r="E17" s="5" t="s">
        <v>98</v>
      </c>
      <c r="F17" s="5" t="s">
        <v>47</v>
      </c>
    </row>
    <row r="18" spans="1:6" ht="20" x14ac:dyDescent="0.25">
      <c r="A18" s="4">
        <v>45726</v>
      </c>
      <c r="B18" s="5" t="s">
        <v>75</v>
      </c>
      <c r="C18" s="5">
        <v>-3.29</v>
      </c>
      <c r="D18" s="21">
        <f>-Mar_25[[#This Row],[Amount]]</f>
        <v>3.29</v>
      </c>
      <c r="E18" s="5" t="s">
        <v>6</v>
      </c>
      <c r="F18" s="5" t="s">
        <v>47</v>
      </c>
    </row>
    <row r="19" spans="1:6" ht="20" x14ac:dyDescent="0.25">
      <c r="A19" s="4">
        <v>45727</v>
      </c>
      <c r="B19" s="6" t="s">
        <v>23</v>
      </c>
      <c r="C19" s="5">
        <v>41.68</v>
      </c>
      <c r="D19" s="21">
        <f>-Mar_25[[#This Row],[Amount]]</f>
        <v>-41.68</v>
      </c>
      <c r="E19" s="5" t="s">
        <v>8</v>
      </c>
      <c r="F19" s="5" t="s">
        <v>9</v>
      </c>
    </row>
    <row r="20" spans="1:6" ht="20" x14ac:dyDescent="0.25">
      <c r="A20" s="4">
        <v>45727</v>
      </c>
      <c r="B20" s="5" t="s">
        <v>36</v>
      </c>
      <c r="C20" s="5">
        <v>-12.68</v>
      </c>
      <c r="D20" s="21">
        <f>-Mar_25[[#This Row],[Amount]]</f>
        <v>12.68</v>
      </c>
      <c r="E20" s="5" t="s">
        <v>6</v>
      </c>
      <c r="F20" s="5" t="s">
        <v>7</v>
      </c>
    </row>
    <row r="21" spans="1:6" ht="20" x14ac:dyDescent="0.25">
      <c r="A21" s="4">
        <v>45727</v>
      </c>
      <c r="B21" s="5" t="s">
        <v>94</v>
      </c>
      <c r="C21" s="5">
        <v>-8.98</v>
      </c>
      <c r="D21" s="21">
        <f>-Mar_25[[#This Row],[Amount]]</f>
        <v>8.98</v>
      </c>
      <c r="E21" s="5" t="s">
        <v>11</v>
      </c>
      <c r="F21" s="5" t="s">
        <v>7</v>
      </c>
    </row>
    <row r="22" spans="1:6" ht="20" x14ac:dyDescent="0.25">
      <c r="A22" s="4">
        <v>45728</v>
      </c>
      <c r="B22" s="5" t="s">
        <v>93</v>
      </c>
      <c r="C22" s="5">
        <v>-14.64</v>
      </c>
      <c r="D22" s="21">
        <f>-Mar_25[[#This Row],[Amount]]</f>
        <v>14.64</v>
      </c>
      <c r="E22" s="5" t="s">
        <v>11</v>
      </c>
      <c r="F22" s="5" t="s">
        <v>47</v>
      </c>
    </row>
    <row r="23" spans="1:6" ht="20" x14ac:dyDescent="0.25">
      <c r="A23" s="4">
        <v>45729</v>
      </c>
      <c r="B23" s="5" t="s">
        <v>92</v>
      </c>
      <c r="C23" s="5">
        <v>-3.81</v>
      </c>
      <c r="D23" s="21">
        <f>-Mar_25[[#This Row],[Amount]]</f>
        <v>3.81</v>
      </c>
      <c r="E23" s="5" t="s">
        <v>6</v>
      </c>
      <c r="F23" s="5" t="s">
        <v>7</v>
      </c>
    </row>
    <row r="24" spans="1:6" ht="20" x14ac:dyDescent="0.25">
      <c r="A24" s="4">
        <v>45730</v>
      </c>
      <c r="B24" s="5" t="s">
        <v>87</v>
      </c>
      <c r="C24" s="5">
        <v>-37.020000000000003</v>
      </c>
      <c r="D24" s="21">
        <f>-Mar_25[[#This Row],[Amount]]/6</f>
        <v>6.1700000000000008</v>
      </c>
      <c r="E24" s="5" t="s">
        <v>6</v>
      </c>
      <c r="F24" s="5" t="s">
        <v>7</v>
      </c>
    </row>
    <row r="25" spans="1:6" ht="20" x14ac:dyDescent="0.25">
      <c r="A25" s="4">
        <v>45730</v>
      </c>
      <c r="B25" s="5" t="s">
        <v>90</v>
      </c>
      <c r="C25" s="5">
        <v>-5.99</v>
      </c>
      <c r="D25" s="21">
        <f>-Mar_25[[#This Row],[Amount]]/2</f>
        <v>2.9950000000000001</v>
      </c>
      <c r="E25" s="5" t="s">
        <v>6</v>
      </c>
      <c r="F25" s="5" t="s">
        <v>7</v>
      </c>
    </row>
    <row r="26" spans="1:6" ht="20" x14ac:dyDescent="0.25">
      <c r="A26" s="4">
        <v>45730</v>
      </c>
      <c r="B26" s="5" t="s">
        <v>91</v>
      </c>
      <c r="C26" s="5">
        <v>-94.93</v>
      </c>
      <c r="D26" s="21">
        <f>-Mar_25[[#This Row],[Amount]]/3</f>
        <v>31.643333333333334</v>
      </c>
      <c r="E26" s="5" t="s">
        <v>6</v>
      </c>
      <c r="F26" s="5" t="s">
        <v>7</v>
      </c>
    </row>
    <row r="27" spans="1:6" ht="20" x14ac:dyDescent="0.25">
      <c r="A27" s="4">
        <v>45731</v>
      </c>
      <c r="B27" s="5" t="s">
        <v>89</v>
      </c>
      <c r="C27" s="5">
        <v>-11.52</v>
      </c>
      <c r="D27" s="21">
        <f>-Mar_25[[#This Row],[Amount]]</f>
        <v>11.52</v>
      </c>
      <c r="E27" s="5" t="s">
        <v>6</v>
      </c>
      <c r="F27" s="5" t="s">
        <v>7</v>
      </c>
    </row>
    <row r="28" spans="1:6" ht="20" x14ac:dyDescent="0.25">
      <c r="A28" s="4">
        <v>45731</v>
      </c>
      <c r="B28" s="5" t="s">
        <v>17</v>
      </c>
      <c r="C28" s="5">
        <v>-9.99</v>
      </c>
      <c r="D28" s="21">
        <f>-Mar_25[[#This Row],[Amount]]</f>
        <v>9.99</v>
      </c>
      <c r="E28" s="5" t="s">
        <v>14</v>
      </c>
      <c r="F28" s="5" t="s">
        <v>7</v>
      </c>
    </row>
    <row r="29" spans="1:6" ht="20" x14ac:dyDescent="0.25">
      <c r="A29" s="4">
        <v>45731</v>
      </c>
      <c r="B29" s="5" t="s">
        <v>48</v>
      </c>
      <c r="C29" s="5">
        <v>-11.56</v>
      </c>
      <c r="D29" s="21">
        <f>-Mar_25[[#This Row],[Amount]]</f>
        <v>11.56</v>
      </c>
      <c r="E29" s="5" t="s">
        <v>11</v>
      </c>
      <c r="F29" s="5" t="s">
        <v>47</v>
      </c>
    </row>
    <row r="30" spans="1:6" ht="20" x14ac:dyDescent="0.25">
      <c r="A30" s="4">
        <v>45731</v>
      </c>
      <c r="B30" s="5" t="s">
        <v>10</v>
      </c>
      <c r="C30" s="5">
        <v>-36.590000000000003</v>
      </c>
      <c r="D30" s="21">
        <f>-Mar_25[[#This Row],[Amount]]</f>
        <v>36.590000000000003</v>
      </c>
      <c r="E30" s="5" t="s">
        <v>11</v>
      </c>
      <c r="F30" s="5" t="s">
        <v>47</v>
      </c>
    </row>
    <row r="31" spans="1:6" ht="20" x14ac:dyDescent="0.25">
      <c r="A31" s="4">
        <v>45731</v>
      </c>
      <c r="B31" s="6" t="s">
        <v>46</v>
      </c>
      <c r="C31" s="5">
        <v>-62.68</v>
      </c>
      <c r="D31" s="21">
        <f>-Mar_25[[#This Row],[Amount]]</f>
        <v>62.68</v>
      </c>
      <c r="E31" s="5" t="s">
        <v>79</v>
      </c>
      <c r="F31" s="5" t="s">
        <v>47</v>
      </c>
    </row>
    <row r="32" spans="1:6" ht="20" x14ac:dyDescent="0.25">
      <c r="A32" s="4">
        <v>45732</v>
      </c>
      <c r="B32" s="5" t="s">
        <v>86</v>
      </c>
      <c r="C32" s="5">
        <v>-4.1100000000000003</v>
      </c>
      <c r="D32" s="21">
        <f>-Mar_25[[#This Row],[Amount]]</f>
        <v>4.1100000000000003</v>
      </c>
      <c r="E32" s="5" t="s">
        <v>6</v>
      </c>
      <c r="F32" s="5" t="s">
        <v>7</v>
      </c>
    </row>
    <row r="33" spans="1:6" ht="20" x14ac:dyDescent="0.25">
      <c r="A33" s="4">
        <v>45732</v>
      </c>
      <c r="B33" s="5" t="s">
        <v>87</v>
      </c>
      <c r="C33" s="5">
        <v>-9.25</v>
      </c>
      <c r="D33" s="21">
        <f>-Mar_25[[#This Row],[Amount]]</f>
        <v>9.25</v>
      </c>
      <c r="E33" s="5" t="s">
        <v>6</v>
      </c>
      <c r="F33" s="5" t="s">
        <v>7</v>
      </c>
    </row>
    <row r="34" spans="1:6" ht="20" x14ac:dyDescent="0.25">
      <c r="A34" s="4">
        <v>45732</v>
      </c>
      <c r="B34" s="5" t="s">
        <v>88</v>
      </c>
      <c r="C34" s="5">
        <v>-17.010000000000002</v>
      </c>
      <c r="D34" s="21">
        <f>-Mar_25[[#This Row],[Amount]]</f>
        <v>17.010000000000002</v>
      </c>
      <c r="E34" s="5" t="s">
        <v>6</v>
      </c>
      <c r="F34" s="5" t="s">
        <v>7</v>
      </c>
    </row>
    <row r="35" spans="1:6" ht="20" x14ac:dyDescent="0.25">
      <c r="A35" s="4">
        <v>45733</v>
      </c>
      <c r="B35" s="5" t="s">
        <v>81</v>
      </c>
      <c r="C35" s="5">
        <v>-6.25</v>
      </c>
      <c r="D35" s="21">
        <f>-Mar_25[[#This Row],[Amount]]</f>
        <v>6.25</v>
      </c>
      <c r="E35" s="5" t="s">
        <v>6</v>
      </c>
      <c r="F35" s="5" t="s">
        <v>7</v>
      </c>
    </row>
    <row r="36" spans="1:6" ht="20" x14ac:dyDescent="0.25">
      <c r="A36" s="4">
        <v>45733</v>
      </c>
      <c r="B36" s="5" t="s">
        <v>82</v>
      </c>
      <c r="C36" s="5">
        <v>-12.83</v>
      </c>
      <c r="D36" s="21">
        <f>-Mar_25[[#This Row],[Amount]]</f>
        <v>12.83</v>
      </c>
      <c r="E36" s="5" t="s">
        <v>6</v>
      </c>
      <c r="F36" s="5" t="s">
        <v>7</v>
      </c>
    </row>
    <row r="37" spans="1:6" ht="20" x14ac:dyDescent="0.25">
      <c r="A37" s="4">
        <v>45733</v>
      </c>
      <c r="B37" s="5" t="s">
        <v>83</v>
      </c>
      <c r="C37" s="5">
        <v>-7.61</v>
      </c>
      <c r="D37" s="21">
        <f>-Mar_25[[#This Row],[Amount]]</f>
        <v>7.61</v>
      </c>
      <c r="E37" s="5" t="s">
        <v>6</v>
      </c>
      <c r="F37" s="5" t="s">
        <v>47</v>
      </c>
    </row>
    <row r="38" spans="1:6" ht="20" x14ac:dyDescent="0.25">
      <c r="A38" s="4">
        <v>45733</v>
      </c>
      <c r="B38" s="5" t="s">
        <v>84</v>
      </c>
      <c r="C38" s="5">
        <v>-30</v>
      </c>
      <c r="D38" s="21">
        <f>-Mar_25[[#This Row],[Amount]]/4</f>
        <v>7.5</v>
      </c>
      <c r="E38" s="5" t="s">
        <v>16</v>
      </c>
      <c r="F38" s="5" t="s">
        <v>47</v>
      </c>
    </row>
    <row r="39" spans="1:6" ht="20" x14ac:dyDescent="0.25">
      <c r="A39" s="4">
        <v>45733</v>
      </c>
      <c r="B39" s="5" t="s">
        <v>18</v>
      </c>
      <c r="C39" s="5">
        <v>-2.99</v>
      </c>
      <c r="D39" s="21">
        <f>-Mar_25[[#This Row],[Amount]]</f>
        <v>2.99</v>
      </c>
      <c r="E39" s="5" t="s">
        <v>16</v>
      </c>
      <c r="F39" s="5" t="s">
        <v>47</v>
      </c>
    </row>
    <row r="40" spans="1:6" ht="20" x14ac:dyDescent="0.25">
      <c r="A40" s="4">
        <v>45733</v>
      </c>
      <c r="B40" s="5" t="s">
        <v>85</v>
      </c>
      <c r="C40" s="5">
        <v>-3.1</v>
      </c>
      <c r="D40" s="21">
        <f>-Mar_25[[#This Row],[Amount]]</f>
        <v>3.1</v>
      </c>
      <c r="E40" s="5" t="s">
        <v>6</v>
      </c>
      <c r="F40" s="5" t="s">
        <v>47</v>
      </c>
    </row>
    <row r="41" spans="1:6" ht="20" x14ac:dyDescent="0.25">
      <c r="A41" s="4">
        <v>45733</v>
      </c>
      <c r="B41" s="5" t="s">
        <v>30</v>
      </c>
      <c r="C41" s="5">
        <v>-5.98</v>
      </c>
      <c r="D41" s="21">
        <f>-Mar_25[[#This Row],[Amount]]+11.97</f>
        <v>17.950000000000003</v>
      </c>
      <c r="E41" s="5" t="s">
        <v>69</v>
      </c>
      <c r="F41" s="5" t="s">
        <v>21</v>
      </c>
    </row>
    <row r="42" spans="1:6" ht="20" x14ac:dyDescent="0.25">
      <c r="A42" s="4">
        <v>45734</v>
      </c>
      <c r="B42" s="6" t="s">
        <v>33</v>
      </c>
      <c r="C42" s="5">
        <v>-33.340000000000003</v>
      </c>
      <c r="D42" s="21">
        <f>-Mar_25[[#This Row],[Amount]]</f>
        <v>33.340000000000003</v>
      </c>
      <c r="E42" s="5" t="s">
        <v>79</v>
      </c>
      <c r="F42" s="5" t="s">
        <v>7</v>
      </c>
    </row>
    <row r="43" spans="1:6" ht="20" x14ac:dyDescent="0.25">
      <c r="A43" s="4">
        <v>45734</v>
      </c>
      <c r="B43" s="5" t="s">
        <v>80</v>
      </c>
      <c r="C43" s="5">
        <v>-1.99</v>
      </c>
      <c r="D43" s="21">
        <f>-Mar_25[[#This Row],[Amount]]</f>
        <v>1.99</v>
      </c>
      <c r="E43" s="5" t="s">
        <v>16</v>
      </c>
      <c r="F43" s="5" t="s">
        <v>7</v>
      </c>
    </row>
    <row r="44" spans="1:6" ht="20" x14ac:dyDescent="0.25">
      <c r="A44" s="4">
        <v>45734</v>
      </c>
      <c r="B44" s="6" t="s">
        <v>15</v>
      </c>
      <c r="C44" s="5">
        <v>-6.98</v>
      </c>
      <c r="D44" s="21">
        <f>-Mar_25[[#This Row],[Amount]]</f>
        <v>6.98</v>
      </c>
      <c r="E44" s="5" t="s">
        <v>16</v>
      </c>
      <c r="F44" s="5" t="s">
        <v>9</v>
      </c>
    </row>
    <row r="45" spans="1:6" ht="20" x14ac:dyDescent="0.25">
      <c r="A45" s="4">
        <v>45738</v>
      </c>
      <c r="B45" s="5" t="s">
        <v>75</v>
      </c>
      <c r="C45" s="5">
        <v>-5.39</v>
      </c>
      <c r="D45" s="21">
        <f>-Mar_25[[#This Row],[Amount]]</f>
        <v>5.39</v>
      </c>
      <c r="E45" s="5" t="s">
        <v>6</v>
      </c>
      <c r="F45" s="5" t="s">
        <v>9</v>
      </c>
    </row>
    <row r="46" spans="1:6" ht="20" x14ac:dyDescent="0.25">
      <c r="A46" s="4">
        <v>45738</v>
      </c>
      <c r="B46" s="5" t="s">
        <v>75</v>
      </c>
      <c r="C46" s="5">
        <v>-19.38</v>
      </c>
      <c r="D46" s="21">
        <f>-Mar_25[[#This Row],[Amount]]</f>
        <v>19.38</v>
      </c>
      <c r="E46" s="5" t="s">
        <v>6</v>
      </c>
      <c r="F46" s="5" t="s">
        <v>7</v>
      </c>
    </row>
    <row r="47" spans="1:6" ht="20" x14ac:dyDescent="0.25">
      <c r="A47" s="4">
        <v>45739</v>
      </c>
      <c r="B47" s="5" t="s">
        <v>76</v>
      </c>
      <c r="C47" s="5">
        <v>-13.06</v>
      </c>
      <c r="D47" s="21">
        <f>-Mar_25[[#This Row],[Amount]]</f>
        <v>13.06</v>
      </c>
      <c r="E47" s="5" t="s">
        <v>6</v>
      </c>
      <c r="F47" s="5" t="s">
        <v>7</v>
      </c>
    </row>
    <row r="48" spans="1:6" ht="20" x14ac:dyDescent="0.25">
      <c r="A48" s="4">
        <v>45739</v>
      </c>
      <c r="B48" s="5" t="s">
        <v>77</v>
      </c>
      <c r="C48" s="5">
        <v>-10.7</v>
      </c>
      <c r="D48" s="21">
        <f>-Mar_25[[#This Row],[Amount]]</f>
        <v>10.7</v>
      </c>
      <c r="E48" s="5" t="s">
        <v>6</v>
      </c>
      <c r="F48" s="5" t="s">
        <v>7</v>
      </c>
    </row>
    <row r="49" spans="1:6" ht="20" x14ac:dyDescent="0.25">
      <c r="A49" s="4">
        <v>45739</v>
      </c>
      <c r="B49" s="5" t="s">
        <v>78</v>
      </c>
      <c r="C49" s="5">
        <v>-11</v>
      </c>
      <c r="D49" s="21">
        <f>-Mar_25[[#This Row],[Amount]]</f>
        <v>11</v>
      </c>
      <c r="E49" s="5" t="s">
        <v>6</v>
      </c>
      <c r="F49" s="5" t="s">
        <v>7</v>
      </c>
    </row>
    <row r="50" spans="1:6" ht="20" x14ac:dyDescent="0.25">
      <c r="A50" s="4">
        <v>45740</v>
      </c>
      <c r="B50" s="5" t="s">
        <v>28</v>
      </c>
      <c r="C50" s="5">
        <v>-9.1999999999999993</v>
      </c>
      <c r="D50" s="21">
        <f>-Mar_25[[#This Row],[Amount]]</f>
        <v>9.1999999999999993</v>
      </c>
      <c r="E50" s="5" t="s">
        <v>6</v>
      </c>
      <c r="F50" s="5" t="s">
        <v>7</v>
      </c>
    </row>
    <row r="51" spans="1:6" ht="20" x14ac:dyDescent="0.25">
      <c r="A51" s="4">
        <v>45740</v>
      </c>
      <c r="B51" s="5" t="s">
        <v>73</v>
      </c>
      <c r="C51" s="5">
        <v>-10</v>
      </c>
      <c r="D51" s="21">
        <f>-Mar_25[[#This Row],[Amount]]</f>
        <v>10</v>
      </c>
      <c r="E51" s="5" t="s">
        <v>98</v>
      </c>
      <c r="F51" s="5" t="s">
        <v>9</v>
      </c>
    </row>
    <row r="52" spans="1:6" ht="20" x14ac:dyDescent="0.25">
      <c r="A52" s="4">
        <v>45740</v>
      </c>
      <c r="B52" s="5" t="s">
        <v>75</v>
      </c>
      <c r="C52" s="5">
        <v>-3.29</v>
      </c>
      <c r="D52" s="21">
        <f>-Mar_25[[#This Row],[Amount]]</f>
        <v>3.29</v>
      </c>
      <c r="E52" s="5" t="s">
        <v>6</v>
      </c>
      <c r="F52" s="5" t="s">
        <v>47</v>
      </c>
    </row>
    <row r="53" spans="1:6" ht="20" x14ac:dyDescent="0.25">
      <c r="A53" s="4">
        <v>45741</v>
      </c>
      <c r="B53" s="5" t="s">
        <v>72</v>
      </c>
      <c r="C53" s="5">
        <v>-28.39</v>
      </c>
      <c r="D53" s="21">
        <f>-Mar_25[[#This Row],[Amount]]</f>
        <v>28.39</v>
      </c>
      <c r="E53" s="5" t="s">
        <v>98</v>
      </c>
      <c r="F53" s="5" t="s">
        <v>7</v>
      </c>
    </row>
    <row r="54" spans="1:6" ht="20" x14ac:dyDescent="0.25">
      <c r="A54" s="4">
        <v>45741</v>
      </c>
      <c r="B54" s="5" t="s">
        <v>48</v>
      </c>
      <c r="C54" s="5">
        <v>-10.77</v>
      </c>
      <c r="D54" s="21">
        <f>-Mar_25[[#This Row],[Amount]]</f>
        <v>10.77</v>
      </c>
      <c r="E54" s="5" t="s">
        <v>11</v>
      </c>
      <c r="F54" s="5" t="s">
        <v>47</v>
      </c>
    </row>
    <row r="55" spans="1:6" ht="20" x14ac:dyDescent="0.25">
      <c r="A55" s="4">
        <v>45742</v>
      </c>
      <c r="B55" s="5" t="s">
        <v>70</v>
      </c>
      <c r="C55" s="5">
        <v>49.25</v>
      </c>
      <c r="D55" s="21">
        <f>-Mar_25[[#This Row],[Amount]]</f>
        <v>-49.25</v>
      </c>
      <c r="E55" s="5" t="s">
        <v>71</v>
      </c>
      <c r="F55" s="5" t="s">
        <v>9</v>
      </c>
    </row>
    <row r="56" spans="1:6" ht="20" x14ac:dyDescent="0.25">
      <c r="A56" s="4">
        <v>45742</v>
      </c>
      <c r="B56" s="5" t="s">
        <v>20</v>
      </c>
      <c r="C56" s="5">
        <v>-8.61</v>
      </c>
      <c r="D56" s="21">
        <f>-Mar_25[[#This Row],[Amount]]</f>
        <v>8.61</v>
      </c>
      <c r="E56" s="5" t="s">
        <v>69</v>
      </c>
      <c r="F56" s="5" t="s">
        <v>9</v>
      </c>
    </row>
    <row r="57" spans="1:6" ht="20" x14ac:dyDescent="0.25">
      <c r="A57" s="4">
        <v>45742</v>
      </c>
      <c r="B57" s="5" t="s">
        <v>28</v>
      </c>
      <c r="C57" s="5">
        <v>-24.1</v>
      </c>
      <c r="D57" s="21">
        <f>-Mar_25[[#This Row],[Amount]]</f>
        <v>24.1</v>
      </c>
      <c r="E57" s="5" t="s">
        <v>6</v>
      </c>
      <c r="F57" s="5" t="s">
        <v>51</v>
      </c>
    </row>
    <row r="58" spans="1:6" ht="20" x14ac:dyDescent="0.25">
      <c r="A58" s="4">
        <v>45743</v>
      </c>
      <c r="B58" s="5" t="s">
        <v>67</v>
      </c>
      <c r="C58" s="5">
        <v>-5.75</v>
      </c>
      <c r="D58" s="21">
        <f>-Mar_25[[#This Row],[Amount]]</f>
        <v>5.75</v>
      </c>
      <c r="E58" s="5" t="s">
        <v>6</v>
      </c>
      <c r="F58" s="5" t="s">
        <v>7</v>
      </c>
    </row>
    <row r="59" spans="1:6" ht="20" x14ac:dyDescent="0.25">
      <c r="A59" s="4">
        <v>45743</v>
      </c>
      <c r="B59" s="5" t="s">
        <v>68</v>
      </c>
      <c r="C59" s="5">
        <v>-12.26</v>
      </c>
      <c r="D59" s="21">
        <f>-Mar_25[[#This Row],[Amount]]</f>
        <v>12.26</v>
      </c>
      <c r="E59" s="5" t="s">
        <v>6</v>
      </c>
      <c r="F59" s="5" t="s">
        <v>7</v>
      </c>
    </row>
    <row r="60" spans="1:6" ht="20" x14ac:dyDescent="0.25">
      <c r="A60" s="4">
        <v>45747</v>
      </c>
      <c r="B60" s="6" t="s">
        <v>64</v>
      </c>
      <c r="C60" s="5">
        <v>-250</v>
      </c>
      <c r="D60" s="21">
        <f>-Mar_25[[#This Row],[Amount]]/11</f>
        <v>22.727272727272727</v>
      </c>
      <c r="E60" s="5" t="s">
        <v>43</v>
      </c>
      <c r="F60" s="5" t="s">
        <v>47</v>
      </c>
    </row>
    <row r="61" spans="1:6" ht="20" x14ac:dyDescent="0.25">
      <c r="A61" s="4">
        <v>45747</v>
      </c>
      <c r="B61" s="5" t="s">
        <v>66</v>
      </c>
      <c r="C61" s="5">
        <v>-67</v>
      </c>
      <c r="D61" s="21">
        <f>-Mar_25[[#This Row],[Amount]]/3</f>
        <v>22.333333333333332</v>
      </c>
      <c r="E61" s="5" t="s">
        <v>6</v>
      </c>
      <c r="F61" s="5" t="s">
        <v>47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EA54-58D4-144B-945B-33CB1BFB98FF}">
  <dimension ref="A1:I62"/>
  <sheetViews>
    <sheetView workbookViewId="0">
      <selection activeCell="D11" sqref="D11"/>
    </sheetView>
  </sheetViews>
  <sheetFormatPr baseColWidth="10" defaultRowHeight="16" x14ac:dyDescent="0.2"/>
  <cols>
    <col min="2" max="2" width="28.83203125" bestFit="1" customWidth="1"/>
    <col min="3" max="3" width="11.83203125" hidden="1" customWidth="1"/>
    <col min="4" max="4" width="13.1640625" customWidth="1"/>
    <col min="5" max="5" width="29.6640625" bestFit="1" customWidth="1"/>
    <col min="6" max="6" width="50.83203125" bestFit="1" customWidth="1"/>
    <col min="8" max="8" width="13" bestFit="1" customWidth="1"/>
    <col min="9" max="9" width="15" bestFit="1" customWidth="1"/>
  </cols>
  <sheetData>
    <row r="1" spans="1:9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9" ht="20" hidden="1" x14ac:dyDescent="0.25">
      <c r="A2" s="4">
        <v>45748</v>
      </c>
      <c r="B2" s="5" t="s">
        <v>110</v>
      </c>
      <c r="C2" s="5">
        <v>-37.81</v>
      </c>
      <c r="D2" s="21">
        <f t="shared" ref="D2:D9" si="0">-C2</f>
        <v>37.81</v>
      </c>
      <c r="E2" s="5" t="s">
        <v>14</v>
      </c>
      <c r="F2" s="5" t="s">
        <v>7</v>
      </c>
      <c r="H2" s="37" t="s">
        <v>111</v>
      </c>
      <c r="I2" t="s">
        <v>112</v>
      </c>
    </row>
    <row r="3" spans="1:9" ht="20" hidden="1" x14ac:dyDescent="0.25">
      <c r="A3" s="4">
        <v>45748</v>
      </c>
      <c r="B3" s="5" t="s">
        <v>108</v>
      </c>
      <c r="C3" s="5">
        <v>-5.21</v>
      </c>
      <c r="D3" s="21">
        <f t="shared" si="0"/>
        <v>5.21</v>
      </c>
      <c r="E3" s="5" t="s">
        <v>8</v>
      </c>
      <c r="F3" s="5" t="s">
        <v>47</v>
      </c>
      <c r="H3" s="38" t="s">
        <v>11</v>
      </c>
      <c r="I3" s="40">
        <v>108.58</v>
      </c>
    </row>
    <row r="4" spans="1:9" ht="20" hidden="1" x14ac:dyDescent="0.25">
      <c r="A4" s="4">
        <v>45748</v>
      </c>
      <c r="B4" s="5" t="s">
        <v>75</v>
      </c>
      <c r="C4" s="5">
        <v>-9.69</v>
      </c>
      <c r="D4" s="21">
        <f t="shared" si="0"/>
        <v>9.69</v>
      </c>
      <c r="E4" s="5" t="s">
        <v>11</v>
      </c>
      <c r="F4" s="5" t="s">
        <v>7</v>
      </c>
      <c r="H4" s="38" t="s">
        <v>14</v>
      </c>
      <c r="I4" s="40">
        <v>65.13000000000001</v>
      </c>
    </row>
    <row r="5" spans="1:9" ht="20" x14ac:dyDescent="0.25">
      <c r="A5" s="4">
        <v>45748</v>
      </c>
      <c r="B5" s="5" t="s">
        <v>23</v>
      </c>
      <c r="C5" s="5">
        <v>-8.09</v>
      </c>
      <c r="D5" s="21">
        <f t="shared" si="0"/>
        <v>8.09</v>
      </c>
      <c r="E5" s="5" t="s">
        <v>13</v>
      </c>
      <c r="F5" s="5" t="s">
        <v>9</v>
      </c>
      <c r="H5" s="38" t="s">
        <v>8</v>
      </c>
      <c r="I5" s="40">
        <v>63.52</v>
      </c>
    </row>
    <row r="6" spans="1:9" ht="20" hidden="1" x14ac:dyDescent="0.25">
      <c r="A6" s="4">
        <v>45749</v>
      </c>
      <c r="B6" s="5" t="s">
        <v>75</v>
      </c>
      <c r="C6" s="5">
        <v>-5.82</v>
      </c>
      <c r="D6" s="21">
        <f t="shared" si="0"/>
        <v>5.82</v>
      </c>
      <c r="E6" s="5" t="s">
        <v>11</v>
      </c>
      <c r="F6" s="5" t="s">
        <v>47</v>
      </c>
      <c r="H6" s="38" t="s">
        <v>13</v>
      </c>
      <c r="I6" s="40">
        <v>482.17000000000007</v>
      </c>
    </row>
    <row r="7" spans="1:9" ht="20" x14ac:dyDescent="0.25">
      <c r="A7" s="4">
        <v>45749</v>
      </c>
      <c r="B7" s="5" t="s">
        <v>34</v>
      </c>
      <c r="C7" s="5">
        <v>-2.4500000000000002</v>
      </c>
      <c r="D7" s="21">
        <f t="shared" si="0"/>
        <v>2.4500000000000002</v>
      </c>
      <c r="E7" s="5" t="s">
        <v>6</v>
      </c>
      <c r="F7" s="5" t="s">
        <v>47</v>
      </c>
      <c r="H7" s="38" t="s">
        <v>40</v>
      </c>
      <c r="I7" s="40">
        <v>319.04999999999995</v>
      </c>
    </row>
    <row r="8" spans="1:9" ht="20" hidden="1" x14ac:dyDescent="0.25">
      <c r="A8" s="4">
        <v>45750</v>
      </c>
      <c r="B8" s="5" t="s">
        <v>68</v>
      </c>
      <c r="C8" s="5">
        <v>-7.41</v>
      </c>
      <c r="D8" s="21">
        <f t="shared" si="0"/>
        <v>7.41</v>
      </c>
      <c r="E8" s="5" t="s">
        <v>6</v>
      </c>
      <c r="F8" s="5" t="s">
        <v>7</v>
      </c>
      <c r="H8" s="38" t="s">
        <v>16</v>
      </c>
      <c r="I8" s="40">
        <v>2.99</v>
      </c>
    </row>
    <row r="9" spans="1:9" ht="20" x14ac:dyDescent="0.25">
      <c r="A9" s="4">
        <v>45750</v>
      </c>
      <c r="B9" s="5" t="s">
        <v>20</v>
      </c>
      <c r="C9" s="5">
        <v>-15.09</v>
      </c>
      <c r="D9" s="21">
        <f t="shared" si="0"/>
        <v>15.09</v>
      </c>
      <c r="E9" s="5" t="s">
        <v>13</v>
      </c>
      <c r="F9" s="5" t="s">
        <v>9</v>
      </c>
      <c r="H9" s="38" t="s">
        <v>39</v>
      </c>
      <c r="I9" s="40">
        <v>1041.44</v>
      </c>
    </row>
    <row r="10" spans="1:9" ht="20" hidden="1" x14ac:dyDescent="0.25">
      <c r="A10" s="4">
        <v>45750</v>
      </c>
      <c r="B10" s="5" t="s">
        <v>75</v>
      </c>
      <c r="C10" s="5">
        <v>-7.3</v>
      </c>
      <c r="D10" s="21">
        <f>-C10+5.45</f>
        <v>12.75</v>
      </c>
      <c r="E10" s="5" t="s">
        <v>11</v>
      </c>
      <c r="F10" s="5" t="s">
        <v>7</v>
      </c>
    </row>
    <row r="11" spans="1:9" ht="20" x14ac:dyDescent="0.25">
      <c r="A11" s="4">
        <v>45751</v>
      </c>
      <c r="B11" s="5" t="s">
        <v>20</v>
      </c>
      <c r="C11" s="5">
        <v>-53.54</v>
      </c>
      <c r="D11" s="21">
        <f t="shared" ref="D11:D39" si="1">-C11</f>
        <v>53.54</v>
      </c>
      <c r="E11" s="5" t="s">
        <v>13</v>
      </c>
      <c r="F11" s="5" t="s">
        <v>9</v>
      </c>
    </row>
    <row r="12" spans="1:9" ht="20" hidden="1" x14ac:dyDescent="0.25">
      <c r="A12" s="4">
        <v>45751</v>
      </c>
      <c r="B12" s="5" t="s">
        <v>109</v>
      </c>
      <c r="C12" s="5">
        <v>-12.52</v>
      </c>
      <c r="D12" s="21">
        <f t="shared" si="1"/>
        <v>12.52</v>
      </c>
      <c r="E12" s="5" t="s">
        <v>6</v>
      </c>
      <c r="F12" s="5" t="s">
        <v>7</v>
      </c>
    </row>
    <row r="13" spans="1:9" ht="20" hidden="1" x14ac:dyDescent="0.25">
      <c r="A13" s="4">
        <v>45751</v>
      </c>
      <c r="B13" s="5" t="s">
        <v>75</v>
      </c>
      <c r="C13" s="5">
        <v>-14.99</v>
      </c>
      <c r="D13" s="21">
        <f t="shared" si="1"/>
        <v>14.99</v>
      </c>
      <c r="E13" s="5" t="s">
        <v>11</v>
      </c>
      <c r="F13" s="5" t="s">
        <v>7</v>
      </c>
    </row>
    <row r="14" spans="1:9" ht="20" hidden="1" x14ac:dyDescent="0.25">
      <c r="A14" s="4">
        <v>45751</v>
      </c>
      <c r="B14" s="5" t="s">
        <v>25</v>
      </c>
      <c r="C14" s="5">
        <v>-34.97</v>
      </c>
      <c r="D14" s="21">
        <f t="shared" si="1"/>
        <v>34.97</v>
      </c>
      <c r="E14" s="5" t="s">
        <v>13</v>
      </c>
      <c r="F14" s="5" t="s">
        <v>47</v>
      </c>
    </row>
    <row r="15" spans="1:9" ht="20" x14ac:dyDescent="0.25">
      <c r="A15" s="4">
        <v>45752</v>
      </c>
      <c r="B15" s="5" t="s">
        <v>20</v>
      </c>
      <c r="C15" s="5">
        <v>-10.76</v>
      </c>
      <c r="D15" s="21">
        <f t="shared" si="1"/>
        <v>10.76</v>
      </c>
      <c r="E15" s="5" t="s">
        <v>13</v>
      </c>
      <c r="F15" s="5" t="s">
        <v>9</v>
      </c>
    </row>
    <row r="16" spans="1:9" ht="20" x14ac:dyDescent="0.25">
      <c r="A16" s="4">
        <v>45752</v>
      </c>
      <c r="B16" s="5" t="s">
        <v>20</v>
      </c>
      <c r="C16" s="5">
        <v>-29.08</v>
      </c>
      <c r="D16" s="21">
        <f t="shared" si="1"/>
        <v>29.08</v>
      </c>
      <c r="E16" s="5" t="s">
        <v>13</v>
      </c>
      <c r="F16" s="5" t="s">
        <v>9</v>
      </c>
    </row>
    <row r="17" spans="1:6" ht="20" x14ac:dyDescent="0.25">
      <c r="A17" s="4">
        <v>45752</v>
      </c>
      <c r="B17" s="5" t="s">
        <v>20</v>
      </c>
      <c r="C17" s="5">
        <v>-43.63</v>
      </c>
      <c r="D17" s="21">
        <f t="shared" si="1"/>
        <v>43.63</v>
      </c>
      <c r="E17" s="5" t="s">
        <v>13</v>
      </c>
      <c r="F17" s="5" t="s">
        <v>9</v>
      </c>
    </row>
    <row r="18" spans="1:6" ht="20" x14ac:dyDescent="0.25">
      <c r="A18" s="4">
        <v>45752</v>
      </c>
      <c r="B18" s="5" t="s">
        <v>23</v>
      </c>
      <c r="C18" s="5">
        <v>-50.15</v>
      </c>
      <c r="D18" s="21">
        <f t="shared" si="1"/>
        <v>50.15</v>
      </c>
      <c r="E18" s="5" t="s">
        <v>13</v>
      </c>
      <c r="F18" s="5" t="s">
        <v>9</v>
      </c>
    </row>
    <row r="19" spans="1:6" ht="20" hidden="1" x14ac:dyDescent="0.25">
      <c r="A19" s="4">
        <v>45752</v>
      </c>
      <c r="B19" s="5" t="s">
        <v>108</v>
      </c>
      <c r="C19" s="5">
        <v>-8.15</v>
      </c>
      <c r="D19" s="21">
        <f t="shared" si="1"/>
        <v>8.15</v>
      </c>
      <c r="E19" s="5" t="s">
        <v>8</v>
      </c>
      <c r="F19" s="5" t="s">
        <v>47</v>
      </c>
    </row>
    <row r="20" spans="1:6" ht="20" hidden="1" x14ac:dyDescent="0.25">
      <c r="A20" s="4">
        <v>45752</v>
      </c>
      <c r="B20" s="5" t="s">
        <v>75</v>
      </c>
      <c r="C20" s="5">
        <v>-5.3</v>
      </c>
      <c r="D20" s="21">
        <f t="shared" si="1"/>
        <v>5.3</v>
      </c>
      <c r="E20" s="5" t="s">
        <v>11</v>
      </c>
      <c r="F20" s="5" t="s">
        <v>47</v>
      </c>
    </row>
    <row r="21" spans="1:6" ht="20" hidden="1" x14ac:dyDescent="0.25">
      <c r="A21" s="4">
        <v>45753</v>
      </c>
      <c r="B21" s="5" t="s">
        <v>68</v>
      </c>
      <c r="C21" s="5">
        <v>-16.77</v>
      </c>
      <c r="D21" s="21">
        <f t="shared" si="1"/>
        <v>16.77</v>
      </c>
      <c r="E21" s="5" t="s">
        <v>6</v>
      </c>
      <c r="F21" s="5" t="s">
        <v>7</v>
      </c>
    </row>
    <row r="22" spans="1:6" ht="20" hidden="1" x14ac:dyDescent="0.25">
      <c r="A22" s="4">
        <v>45753</v>
      </c>
      <c r="B22" s="5" t="s">
        <v>36</v>
      </c>
      <c r="C22" s="5">
        <v>-12.96</v>
      </c>
      <c r="D22" s="21">
        <f t="shared" si="1"/>
        <v>12.96</v>
      </c>
      <c r="E22" s="5" t="s">
        <v>6</v>
      </c>
      <c r="F22" s="5" t="s">
        <v>7</v>
      </c>
    </row>
    <row r="23" spans="1:6" ht="20" hidden="1" x14ac:dyDescent="0.25">
      <c r="A23" s="4">
        <v>45753</v>
      </c>
      <c r="B23" s="5" t="s">
        <v>75</v>
      </c>
      <c r="C23" s="5">
        <v>-12.86</v>
      </c>
      <c r="D23" s="21">
        <f t="shared" si="1"/>
        <v>12.86</v>
      </c>
      <c r="E23" s="5" t="s">
        <v>11</v>
      </c>
      <c r="F23" s="5" t="s">
        <v>7</v>
      </c>
    </row>
    <row r="24" spans="1:6" ht="20" hidden="1" x14ac:dyDescent="0.25">
      <c r="A24" s="4">
        <v>45753</v>
      </c>
      <c r="B24" s="5" t="s">
        <v>36</v>
      </c>
      <c r="C24" s="5">
        <v>-13.28</v>
      </c>
      <c r="D24" s="21">
        <f t="shared" si="1"/>
        <v>13.28</v>
      </c>
      <c r="E24" s="5" t="s">
        <v>6</v>
      </c>
      <c r="F24" s="5" t="s">
        <v>7</v>
      </c>
    </row>
    <row r="25" spans="1:6" ht="20" hidden="1" x14ac:dyDescent="0.25">
      <c r="A25" s="4">
        <v>45754</v>
      </c>
      <c r="B25" s="5" t="s">
        <v>53</v>
      </c>
      <c r="C25" s="5">
        <v>-8.42</v>
      </c>
      <c r="D25" s="21">
        <f t="shared" si="1"/>
        <v>8.42</v>
      </c>
      <c r="E25" s="5" t="s">
        <v>6</v>
      </c>
      <c r="F25" s="5" t="s">
        <v>7</v>
      </c>
    </row>
    <row r="26" spans="1:6" ht="20" hidden="1" x14ac:dyDescent="0.25">
      <c r="A26" s="4">
        <v>45755</v>
      </c>
      <c r="B26" s="5" t="s">
        <v>28</v>
      </c>
      <c r="C26" s="5">
        <v>-13.23</v>
      </c>
      <c r="D26" s="21">
        <f t="shared" si="1"/>
        <v>13.23</v>
      </c>
      <c r="E26" s="5" t="s">
        <v>6</v>
      </c>
      <c r="F26" s="5" t="s">
        <v>51</v>
      </c>
    </row>
    <row r="27" spans="1:6" ht="20" hidden="1" x14ac:dyDescent="0.25">
      <c r="A27" s="39">
        <v>45755</v>
      </c>
      <c r="B27" s="6" t="s">
        <v>107</v>
      </c>
      <c r="C27" s="6">
        <v>-45.18</v>
      </c>
      <c r="D27" s="41">
        <f t="shared" si="1"/>
        <v>45.18</v>
      </c>
      <c r="E27" s="6" t="s">
        <v>8</v>
      </c>
      <c r="F27" s="6" t="s">
        <v>47</v>
      </c>
    </row>
    <row r="28" spans="1:6" ht="20" hidden="1" x14ac:dyDescent="0.25">
      <c r="A28" s="4">
        <v>45756</v>
      </c>
      <c r="B28" s="5" t="s">
        <v>106</v>
      </c>
      <c r="C28" s="5">
        <v>-16.75</v>
      </c>
      <c r="D28" s="21">
        <f t="shared" si="1"/>
        <v>16.75</v>
      </c>
      <c r="E28" s="5" t="s">
        <v>6</v>
      </c>
      <c r="F28" s="5" t="s">
        <v>47</v>
      </c>
    </row>
    <row r="29" spans="1:6" ht="20" x14ac:dyDescent="0.25">
      <c r="A29" s="4">
        <v>45757</v>
      </c>
      <c r="B29" s="5" t="s">
        <v>23</v>
      </c>
      <c r="C29" s="5">
        <v>29.08</v>
      </c>
      <c r="D29" s="21">
        <f t="shared" si="1"/>
        <v>-29.08</v>
      </c>
      <c r="E29" s="5" t="s">
        <v>13</v>
      </c>
      <c r="F29" s="5" t="s">
        <v>9</v>
      </c>
    </row>
    <row r="30" spans="1:6" ht="20" x14ac:dyDescent="0.25">
      <c r="A30" s="4">
        <v>45757</v>
      </c>
      <c r="B30" s="5" t="s">
        <v>23</v>
      </c>
      <c r="C30" s="5">
        <v>-58.72</v>
      </c>
      <c r="D30" s="21">
        <f t="shared" si="1"/>
        <v>58.72</v>
      </c>
      <c r="E30" s="5" t="s">
        <v>13</v>
      </c>
      <c r="F30" s="5" t="s">
        <v>9</v>
      </c>
    </row>
    <row r="31" spans="1:6" ht="20" x14ac:dyDescent="0.25">
      <c r="A31" s="4">
        <v>45757</v>
      </c>
      <c r="B31" s="5" t="s">
        <v>20</v>
      </c>
      <c r="C31" s="5">
        <v>-47.36</v>
      </c>
      <c r="D31" s="21">
        <f t="shared" si="1"/>
        <v>47.36</v>
      </c>
      <c r="E31" s="5" t="s">
        <v>13</v>
      </c>
      <c r="F31" s="5" t="s">
        <v>9</v>
      </c>
    </row>
    <row r="32" spans="1:6" ht="20" hidden="1" x14ac:dyDescent="0.25">
      <c r="A32" s="4">
        <v>45759</v>
      </c>
      <c r="B32" s="5" t="s">
        <v>75</v>
      </c>
      <c r="C32" s="5">
        <v>-2.4900000000000002</v>
      </c>
      <c r="D32" s="21">
        <f t="shared" si="1"/>
        <v>2.4900000000000002</v>
      </c>
      <c r="E32" s="5" t="s">
        <v>11</v>
      </c>
      <c r="F32" s="5" t="s">
        <v>47</v>
      </c>
    </row>
    <row r="33" spans="1:6" ht="20" hidden="1" x14ac:dyDescent="0.25">
      <c r="A33" s="4">
        <v>45761</v>
      </c>
      <c r="B33" s="5" t="s">
        <v>17</v>
      </c>
      <c r="C33" s="5">
        <v>-9.99</v>
      </c>
      <c r="D33" s="21">
        <f t="shared" si="1"/>
        <v>9.99</v>
      </c>
      <c r="E33" s="5" t="s">
        <v>14</v>
      </c>
      <c r="F33" s="5" t="s">
        <v>7</v>
      </c>
    </row>
    <row r="34" spans="1:6" ht="20" hidden="1" x14ac:dyDescent="0.25">
      <c r="A34" s="4">
        <v>45761</v>
      </c>
      <c r="B34" s="5" t="s">
        <v>104</v>
      </c>
      <c r="C34" s="5">
        <v>-9.1999999999999993</v>
      </c>
      <c r="D34" s="21">
        <f t="shared" si="1"/>
        <v>9.1999999999999993</v>
      </c>
      <c r="E34" s="5" t="s">
        <v>6</v>
      </c>
      <c r="F34" s="5" t="s">
        <v>7</v>
      </c>
    </row>
    <row r="35" spans="1:6" ht="20" hidden="1" x14ac:dyDescent="0.25">
      <c r="A35" s="4">
        <v>45761</v>
      </c>
      <c r="B35" s="5" t="s">
        <v>105</v>
      </c>
      <c r="C35" s="5">
        <v>-3.39</v>
      </c>
      <c r="D35" s="21">
        <f t="shared" si="1"/>
        <v>3.39</v>
      </c>
      <c r="E35" s="5" t="s">
        <v>6</v>
      </c>
      <c r="F35" s="5" t="s">
        <v>7</v>
      </c>
    </row>
    <row r="36" spans="1:6" ht="20" hidden="1" x14ac:dyDescent="0.25">
      <c r="A36" s="4">
        <v>45762</v>
      </c>
      <c r="B36" s="5" t="s">
        <v>68</v>
      </c>
      <c r="C36" s="5">
        <v>-17.88</v>
      </c>
      <c r="D36" s="21">
        <f t="shared" si="1"/>
        <v>17.88</v>
      </c>
      <c r="E36" s="5" t="s">
        <v>6</v>
      </c>
      <c r="F36" s="5" t="s">
        <v>7</v>
      </c>
    </row>
    <row r="37" spans="1:6" ht="20" hidden="1" x14ac:dyDescent="0.25">
      <c r="A37" s="4">
        <v>45762</v>
      </c>
      <c r="B37" s="5" t="s">
        <v>75</v>
      </c>
      <c r="C37" s="5">
        <v>-7.79</v>
      </c>
      <c r="D37" s="21">
        <f t="shared" si="1"/>
        <v>7.79</v>
      </c>
      <c r="E37" s="5" t="s">
        <v>11</v>
      </c>
      <c r="F37" s="5" t="s">
        <v>7</v>
      </c>
    </row>
    <row r="38" spans="1:6" ht="20" hidden="1" x14ac:dyDescent="0.25">
      <c r="A38" s="4">
        <v>45762</v>
      </c>
      <c r="B38" s="5" t="s">
        <v>103</v>
      </c>
      <c r="C38" s="5">
        <v>-3.81</v>
      </c>
      <c r="D38" s="21">
        <f t="shared" si="1"/>
        <v>3.81</v>
      </c>
      <c r="E38" s="5" t="s">
        <v>6</v>
      </c>
      <c r="F38" s="5" t="s">
        <v>7</v>
      </c>
    </row>
    <row r="39" spans="1:6" ht="20" x14ac:dyDescent="0.25">
      <c r="A39" s="4">
        <v>45763</v>
      </c>
      <c r="B39" s="5" t="s">
        <v>23</v>
      </c>
      <c r="C39" s="5">
        <v>-15.34</v>
      </c>
      <c r="D39" s="21">
        <f t="shared" si="1"/>
        <v>15.34</v>
      </c>
      <c r="E39" s="5" t="s">
        <v>13</v>
      </c>
      <c r="F39" s="5" t="s">
        <v>9</v>
      </c>
    </row>
    <row r="40" spans="1:6" ht="20" hidden="1" x14ac:dyDescent="0.25">
      <c r="A40" s="4">
        <v>45763</v>
      </c>
      <c r="B40" s="5" t="s">
        <v>17</v>
      </c>
      <c r="C40" s="5">
        <v>-25.13</v>
      </c>
      <c r="D40" s="21">
        <f>-C40-10</f>
        <v>15.129999999999999</v>
      </c>
      <c r="E40" s="5" t="s">
        <v>14</v>
      </c>
      <c r="F40" s="5" t="s">
        <v>51</v>
      </c>
    </row>
    <row r="41" spans="1:6" ht="20" hidden="1" x14ac:dyDescent="0.25">
      <c r="A41" s="4">
        <v>45763</v>
      </c>
      <c r="B41" s="5" t="s">
        <v>102</v>
      </c>
      <c r="C41" s="5">
        <v>-79.2</v>
      </c>
      <c r="D41" s="21">
        <f t="shared" ref="D41:D62" si="2">-C41</f>
        <v>79.2</v>
      </c>
      <c r="E41" s="5" t="s">
        <v>13</v>
      </c>
      <c r="F41" s="5" t="s">
        <v>47</v>
      </c>
    </row>
    <row r="42" spans="1:6" ht="20" hidden="1" x14ac:dyDescent="0.25">
      <c r="A42" s="4">
        <v>45763</v>
      </c>
      <c r="B42" s="5" t="s">
        <v>29</v>
      </c>
      <c r="C42" s="5">
        <v>-22.85</v>
      </c>
      <c r="D42" s="21">
        <f t="shared" si="2"/>
        <v>22.85</v>
      </c>
      <c r="E42" s="5" t="s">
        <v>13</v>
      </c>
      <c r="F42" s="5" t="s">
        <v>47</v>
      </c>
    </row>
    <row r="43" spans="1:6" ht="20" hidden="1" x14ac:dyDescent="0.25">
      <c r="A43" s="4">
        <v>45764</v>
      </c>
      <c r="B43" s="5" t="s">
        <v>80</v>
      </c>
      <c r="C43" s="5">
        <v>-1.99</v>
      </c>
      <c r="D43" s="21">
        <f t="shared" si="2"/>
        <v>1.99</v>
      </c>
      <c r="E43" s="5" t="s">
        <v>8</v>
      </c>
      <c r="F43" s="5" t="s">
        <v>7</v>
      </c>
    </row>
    <row r="44" spans="1:6" ht="20" hidden="1" x14ac:dyDescent="0.25">
      <c r="A44" s="4">
        <v>45764</v>
      </c>
      <c r="B44" s="5" t="s">
        <v>75</v>
      </c>
      <c r="C44" s="5">
        <v>-7.1</v>
      </c>
      <c r="D44" s="21">
        <f t="shared" si="2"/>
        <v>7.1</v>
      </c>
      <c r="E44" s="5" t="s">
        <v>11</v>
      </c>
      <c r="F44" s="5" t="s">
        <v>7</v>
      </c>
    </row>
    <row r="45" spans="1:6" ht="20" hidden="1" x14ac:dyDescent="0.25">
      <c r="A45" s="4">
        <v>45764</v>
      </c>
      <c r="B45" s="5" t="s">
        <v>75</v>
      </c>
      <c r="C45" s="5">
        <v>-11.98</v>
      </c>
      <c r="D45" s="21">
        <f t="shared" si="2"/>
        <v>11.98</v>
      </c>
      <c r="E45" s="5" t="s">
        <v>11</v>
      </c>
      <c r="F45" s="5" t="s">
        <v>7</v>
      </c>
    </row>
    <row r="46" spans="1:6" ht="20" hidden="1" x14ac:dyDescent="0.25">
      <c r="A46" s="4">
        <v>45764</v>
      </c>
      <c r="B46" s="5" t="s">
        <v>25</v>
      </c>
      <c r="C46" s="5">
        <v>-27.55</v>
      </c>
      <c r="D46" s="21">
        <f t="shared" si="2"/>
        <v>27.55</v>
      </c>
      <c r="E46" s="5" t="s">
        <v>13</v>
      </c>
      <c r="F46" s="5" t="s">
        <v>47</v>
      </c>
    </row>
    <row r="47" spans="1:6" ht="20" hidden="1" x14ac:dyDescent="0.25">
      <c r="A47" s="4">
        <v>45764</v>
      </c>
      <c r="B47" s="5" t="s">
        <v>18</v>
      </c>
      <c r="C47" s="5">
        <v>-2.99</v>
      </c>
      <c r="D47" s="21">
        <f t="shared" si="2"/>
        <v>2.99</v>
      </c>
      <c r="E47" s="5" t="s">
        <v>16</v>
      </c>
      <c r="F47" s="5" t="s">
        <v>47</v>
      </c>
    </row>
    <row r="48" spans="1:6" ht="20" hidden="1" x14ac:dyDescent="0.25">
      <c r="A48" s="4">
        <v>45765</v>
      </c>
      <c r="B48" s="5" t="s">
        <v>68</v>
      </c>
      <c r="C48" s="5">
        <v>-8.4600000000000009</v>
      </c>
      <c r="D48" s="21">
        <f t="shared" si="2"/>
        <v>8.4600000000000009</v>
      </c>
      <c r="E48" s="5" t="s">
        <v>6</v>
      </c>
      <c r="F48" s="5" t="s">
        <v>7</v>
      </c>
    </row>
    <row r="49" spans="1:6" ht="20" hidden="1" x14ac:dyDescent="0.25">
      <c r="A49" s="4">
        <v>45765</v>
      </c>
      <c r="B49" s="5" t="s">
        <v>75</v>
      </c>
      <c r="C49" s="5">
        <v>-8.8699999999999992</v>
      </c>
      <c r="D49" s="21">
        <f t="shared" si="2"/>
        <v>8.8699999999999992</v>
      </c>
      <c r="E49" s="5" t="s">
        <v>11</v>
      </c>
      <c r="F49" s="5" t="s">
        <v>7</v>
      </c>
    </row>
    <row r="50" spans="1:6" ht="20" hidden="1" x14ac:dyDescent="0.25">
      <c r="A50" s="4">
        <v>45765</v>
      </c>
      <c r="B50" s="5" t="s">
        <v>68</v>
      </c>
      <c r="C50" s="5">
        <v>-61.67</v>
      </c>
      <c r="D50" s="21">
        <f t="shared" si="2"/>
        <v>61.67</v>
      </c>
      <c r="E50" s="5" t="s">
        <v>6</v>
      </c>
      <c r="F50" s="5" t="s">
        <v>7</v>
      </c>
    </row>
    <row r="51" spans="1:6" ht="20" hidden="1" x14ac:dyDescent="0.25">
      <c r="A51" s="4">
        <v>45765</v>
      </c>
      <c r="B51" s="5" t="s">
        <v>15</v>
      </c>
      <c r="C51" s="5">
        <v>-2.99</v>
      </c>
      <c r="D51" s="21">
        <f t="shared" si="2"/>
        <v>2.99</v>
      </c>
      <c r="E51" s="5" t="s">
        <v>8</v>
      </c>
      <c r="F51" s="5" t="s">
        <v>9</v>
      </c>
    </row>
    <row r="52" spans="1:6" ht="20" hidden="1" x14ac:dyDescent="0.25">
      <c r="A52" s="4">
        <v>45768</v>
      </c>
      <c r="B52" s="5" t="s">
        <v>68</v>
      </c>
      <c r="C52" s="5">
        <v>-4.01</v>
      </c>
      <c r="D52" s="21">
        <f t="shared" si="2"/>
        <v>4.01</v>
      </c>
      <c r="E52" s="5" t="s">
        <v>6</v>
      </c>
      <c r="F52" s="5" t="s">
        <v>7</v>
      </c>
    </row>
    <row r="53" spans="1:6" ht="20" hidden="1" x14ac:dyDescent="0.25">
      <c r="A53" s="4">
        <v>45769</v>
      </c>
      <c r="B53" s="5" t="s">
        <v>101</v>
      </c>
      <c r="C53" s="5">
        <v>-18.579999999999998</v>
      </c>
      <c r="D53" s="21">
        <f t="shared" si="2"/>
        <v>18.579999999999998</v>
      </c>
      <c r="E53" s="5" t="s">
        <v>6</v>
      </c>
      <c r="F53" s="5" t="s">
        <v>7</v>
      </c>
    </row>
    <row r="54" spans="1:6" ht="20" hidden="1" x14ac:dyDescent="0.25">
      <c r="A54" s="4">
        <v>45771</v>
      </c>
      <c r="B54" s="5" t="s">
        <v>68</v>
      </c>
      <c r="C54" s="5">
        <v>-9.51</v>
      </c>
      <c r="D54" s="21">
        <f t="shared" si="2"/>
        <v>9.51</v>
      </c>
      <c r="E54" s="5" t="s">
        <v>6</v>
      </c>
      <c r="F54" s="5" t="s">
        <v>7</v>
      </c>
    </row>
    <row r="55" spans="1:6" ht="20" hidden="1" x14ac:dyDescent="0.25">
      <c r="A55" s="4">
        <v>45772</v>
      </c>
      <c r="B55" s="5" t="s">
        <v>101</v>
      </c>
      <c r="C55" s="5">
        <v>-30.63</v>
      </c>
      <c r="D55" s="21">
        <f t="shared" si="2"/>
        <v>30.63</v>
      </c>
      <c r="E55" s="5" t="s">
        <v>6</v>
      </c>
      <c r="F55" s="5" t="s">
        <v>7</v>
      </c>
    </row>
    <row r="56" spans="1:6" ht="20" hidden="1" x14ac:dyDescent="0.25">
      <c r="A56" s="4">
        <v>45773</v>
      </c>
      <c r="B56" s="5" t="s">
        <v>75</v>
      </c>
      <c r="C56" s="5">
        <v>-2.96</v>
      </c>
      <c r="D56" s="21">
        <f t="shared" si="2"/>
        <v>2.96</v>
      </c>
      <c r="E56" s="5" t="s">
        <v>11</v>
      </c>
      <c r="F56" s="5" t="s">
        <v>7</v>
      </c>
    </row>
    <row r="57" spans="1:6" ht="20" hidden="1" x14ac:dyDescent="0.25">
      <c r="A57" s="4">
        <v>45774</v>
      </c>
      <c r="B57" s="5" t="s">
        <v>100</v>
      </c>
      <c r="C57" s="5">
        <v>-8.84</v>
      </c>
      <c r="D57" s="21">
        <f t="shared" si="2"/>
        <v>8.84</v>
      </c>
      <c r="E57" s="5" t="s">
        <v>6</v>
      </c>
      <c r="F57" s="5" t="s">
        <v>7</v>
      </c>
    </row>
    <row r="58" spans="1:6" ht="20" hidden="1" x14ac:dyDescent="0.25">
      <c r="A58" s="4">
        <v>45774</v>
      </c>
      <c r="B58" s="5" t="s">
        <v>67</v>
      </c>
      <c r="C58" s="5">
        <v>-26.52</v>
      </c>
      <c r="D58" s="21">
        <f t="shared" si="2"/>
        <v>26.52</v>
      </c>
      <c r="E58" s="5" t="s">
        <v>6</v>
      </c>
      <c r="F58" s="5" t="s">
        <v>7</v>
      </c>
    </row>
    <row r="59" spans="1:6" ht="20" hidden="1" x14ac:dyDescent="0.25">
      <c r="A59" s="4">
        <v>45775</v>
      </c>
      <c r="B59" s="5" t="s">
        <v>68</v>
      </c>
      <c r="C59" s="5">
        <v>-12.76</v>
      </c>
      <c r="D59" s="21">
        <f t="shared" si="2"/>
        <v>12.76</v>
      </c>
      <c r="E59" s="5" t="s">
        <v>6</v>
      </c>
      <c r="F59" s="5" t="s">
        <v>7</v>
      </c>
    </row>
    <row r="60" spans="1:6" ht="20" hidden="1" x14ac:dyDescent="0.25">
      <c r="A60" s="4">
        <v>45775</v>
      </c>
      <c r="B60" s="5" t="s">
        <v>75</v>
      </c>
      <c r="C60" s="5">
        <v>-5.98</v>
      </c>
      <c r="D60" s="21">
        <f t="shared" si="2"/>
        <v>5.98</v>
      </c>
      <c r="E60" s="5" t="s">
        <v>11</v>
      </c>
      <c r="F60" s="5" t="s">
        <v>47</v>
      </c>
    </row>
    <row r="61" spans="1:6" ht="20" x14ac:dyDescent="0.25">
      <c r="A61" s="4">
        <v>45777</v>
      </c>
      <c r="B61" s="5" t="s">
        <v>20</v>
      </c>
      <c r="C61" s="5">
        <v>-14.92</v>
      </c>
      <c r="D61" s="21">
        <f t="shared" si="2"/>
        <v>14.92</v>
      </c>
      <c r="E61" s="5" t="s">
        <v>13</v>
      </c>
      <c r="F61" s="5" t="s">
        <v>9</v>
      </c>
    </row>
    <row r="62" spans="1:6" ht="20" hidden="1" x14ac:dyDescent="0.25">
      <c r="A62" s="4">
        <v>45777</v>
      </c>
      <c r="B62" s="5" t="s">
        <v>99</v>
      </c>
      <c r="C62" s="5">
        <v>-2.2000000000000002</v>
      </c>
      <c r="D62" s="21">
        <f t="shared" si="2"/>
        <v>2.2000000000000002</v>
      </c>
      <c r="E62" s="5" t="s">
        <v>14</v>
      </c>
      <c r="F62" s="5" t="s">
        <v>47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FDA7-174D-CB44-97DA-F21816303C96}">
  <dimension ref="A1:I44"/>
  <sheetViews>
    <sheetView workbookViewId="0">
      <selection sqref="A1:F1"/>
    </sheetView>
  </sheetViews>
  <sheetFormatPr baseColWidth="10" defaultRowHeight="16" x14ac:dyDescent="0.2"/>
  <cols>
    <col min="1" max="1" width="9.83203125" bestFit="1" customWidth="1"/>
    <col min="2" max="2" width="45" bestFit="1" customWidth="1"/>
    <col min="3" max="3" width="9.5" hidden="1" customWidth="1"/>
    <col min="4" max="4" width="14.33203125" bestFit="1" customWidth="1"/>
    <col min="5" max="5" width="22.6640625" bestFit="1" customWidth="1"/>
    <col min="6" max="6" width="33.83203125" customWidth="1"/>
    <col min="8" max="8" width="15.6640625" bestFit="1" customWidth="1"/>
    <col min="9" max="9" width="13.5" bestFit="1" customWidth="1"/>
  </cols>
  <sheetData>
    <row r="1" spans="1:9" ht="20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42" t="s">
        <v>5</v>
      </c>
      <c r="H1" s="43" t="s">
        <v>4</v>
      </c>
      <c r="I1" s="43" t="s">
        <v>44</v>
      </c>
    </row>
    <row r="2" spans="1:9" ht="20" x14ac:dyDescent="0.25">
      <c r="A2" s="4">
        <v>45779</v>
      </c>
      <c r="B2" s="5" t="s">
        <v>125</v>
      </c>
      <c r="C2" s="5">
        <v>-30</v>
      </c>
      <c r="D2" s="21">
        <f t="shared" ref="D2:D33" si="0">-C2</f>
        <v>30</v>
      </c>
      <c r="E2" s="5" t="s">
        <v>8</v>
      </c>
      <c r="F2" s="5" t="s">
        <v>47</v>
      </c>
      <c r="H2" s="44" t="s">
        <v>11</v>
      </c>
      <c r="I2" s="45">
        <v>249.46</v>
      </c>
    </row>
    <row r="3" spans="1:9" ht="20" x14ac:dyDescent="0.25">
      <c r="A3" s="4">
        <v>45780</v>
      </c>
      <c r="B3" s="5" t="s">
        <v>68</v>
      </c>
      <c r="C3" s="5">
        <v>-6.62</v>
      </c>
      <c r="D3" s="21">
        <f t="shared" si="0"/>
        <v>6.62</v>
      </c>
      <c r="E3" s="5" t="s">
        <v>65</v>
      </c>
      <c r="F3" s="5" t="s">
        <v>47</v>
      </c>
      <c r="H3" s="44" t="s">
        <v>98</v>
      </c>
      <c r="I3" s="45">
        <v>3358.3399999999997</v>
      </c>
    </row>
    <row r="4" spans="1:9" ht="20" x14ac:dyDescent="0.25">
      <c r="A4" s="4">
        <v>45780</v>
      </c>
      <c r="B4" s="5" t="s">
        <v>130</v>
      </c>
      <c r="C4" s="5">
        <v>-10.7</v>
      </c>
      <c r="D4" s="21">
        <f t="shared" si="0"/>
        <v>10.7</v>
      </c>
      <c r="E4" s="5" t="s">
        <v>65</v>
      </c>
      <c r="F4" s="5" t="s">
        <v>7</v>
      </c>
      <c r="H4" s="44" t="s">
        <v>6</v>
      </c>
      <c r="I4" s="45">
        <v>248.09</v>
      </c>
    </row>
    <row r="5" spans="1:9" ht="20" x14ac:dyDescent="0.25">
      <c r="A5" s="4">
        <v>45781</v>
      </c>
      <c r="B5" s="5" t="s">
        <v>124</v>
      </c>
      <c r="C5" s="5">
        <v>-30</v>
      </c>
      <c r="D5" s="21">
        <f t="shared" si="0"/>
        <v>30</v>
      </c>
      <c r="E5" s="5" t="s">
        <v>65</v>
      </c>
      <c r="F5" s="5" t="s">
        <v>7</v>
      </c>
      <c r="H5" s="44" t="s">
        <v>14</v>
      </c>
      <c r="I5" s="45">
        <v>485.32000000000005</v>
      </c>
    </row>
    <row r="6" spans="1:9" ht="20" x14ac:dyDescent="0.25">
      <c r="A6" s="4">
        <v>45782</v>
      </c>
      <c r="B6" s="5" t="s">
        <v>122</v>
      </c>
      <c r="C6" s="5">
        <v>-5.68</v>
      </c>
      <c r="D6" s="21">
        <f t="shared" si="0"/>
        <v>5.68</v>
      </c>
      <c r="E6" s="5" t="s">
        <v>8</v>
      </c>
      <c r="F6" s="5" t="s">
        <v>7</v>
      </c>
      <c r="H6" s="44" t="s">
        <v>126</v>
      </c>
      <c r="I6" s="45">
        <v>138.69</v>
      </c>
    </row>
    <row r="7" spans="1:9" ht="20" x14ac:dyDescent="0.25">
      <c r="A7" s="4">
        <v>45782</v>
      </c>
      <c r="B7" s="5" t="s">
        <v>123</v>
      </c>
      <c r="C7" s="5">
        <v>-9.7200000000000006</v>
      </c>
      <c r="D7" s="21">
        <f t="shared" si="0"/>
        <v>9.7200000000000006</v>
      </c>
      <c r="E7" s="5" t="s">
        <v>8</v>
      </c>
      <c r="F7" s="5" t="s">
        <v>47</v>
      </c>
      <c r="H7" s="44" t="s">
        <v>16</v>
      </c>
      <c r="I7" s="45">
        <v>22.990000000000002</v>
      </c>
    </row>
    <row r="8" spans="1:9" ht="20" x14ac:dyDescent="0.25">
      <c r="A8" s="4">
        <v>45782</v>
      </c>
      <c r="B8" s="5" t="s">
        <v>120</v>
      </c>
      <c r="C8" s="5">
        <v>-5.6</v>
      </c>
      <c r="D8" s="21">
        <f t="shared" si="0"/>
        <v>5.6</v>
      </c>
      <c r="E8" s="5" t="s">
        <v>14</v>
      </c>
      <c r="F8" s="5" t="s">
        <v>47</v>
      </c>
      <c r="H8" s="43" t="s">
        <v>39</v>
      </c>
      <c r="I8" s="46">
        <v>4502.8899999999994</v>
      </c>
    </row>
    <row r="9" spans="1:9" ht="20" x14ac:dyDescent="0.25">
      <c r="A9" s="4">
        <v>45782</v>
      </c>
      <c r="B9" s="5" t="s">
        <v>123</v>
      </c>
      <c r="C9" s="5">
        <v>-30.3</v>
      </c>
      <c r="D9" s="21">
        <f t="shared" si="0"/>
        <v>30.3</v>
      </c>
      <c r="E9" s="5" t="s">
        <v>8</v>
      </c>
      <c r="F9" s="5" t="s">
        <v>47</v>
      </c>
    </row>
    <row r="10" spans="1:9" ht="20" x14ac:dyDescent="0.25">
      <c r="A10" s="4">
        <v>45783</v>
      </c>
      <c r="B10" s="5" t="s">
        <v>67</v>
      </c>
      <c r="C10" s="5">
        <v>-5.45</v>
      </c>
      <c r="D10" s="21">
        <f t="shared" si="0"/>
        <v>5.45</v>
      </c>
      <c r="E10" s="5" t="s">
        <v>65</v>
      </c>
      <c r="F10" s="5" t="s">
        <v>7</v>
      </c>
    </row>
    <row r="11" spans="1:9" ht="20" x14ac:dyDescent="0.25">
      <c r="A11" s="4">
        <v>45783</v>
      </c>
      <c r="B11" s="5" t="s">
        <v>121</v>
      </c>
      <c r="C11" s="5">
        <v>-417.22</v>
      </c>
      <c r="D11" s="21">
        <f t="shared" si="0"/>
        <v>417.22</v>
      </c>
      <c r="E11" s="5" t="s">
        <v>14</v>
      </c>
      <c r="F11" s="5" t="s">
        <v>47</v>
      </c>
    </row>
    <row r="12" spans="1:9" ht="20" x14ac:dyDescent="0.25">
      <c r="A12" s="4">
        <v>45783</v>
      </c>
      <c r="B12" s="5" t="s">
        <v>122</v>
      </c>
      <c r="C12" s="5">
        <v>-14.91</v>
      </c>
      <c r="D12" s="21">
        <f t="shared" si="0"/>
        <v>14.91</v>
      </c>
      <c r="E12" s="5" t="s">
        <v>8</v>
      </c>
      <c r="F12" s="5" t="s">
        <v>47</v>
      </c>
    </row>
    <row r="13" spans="1:9" ht="20" x14ac:dyDescent="0.25">
      <c r="A13" s="4">
        <v>45784</v>
      </c>
      <c r="B13" s="5" t="s">
        <v>41</v>
      </c>
      <c r="C13" s="5">
        <v>-1.99</v>
      </c>
      <c r="D13" s="21">
        <f t="shared" si="0"/>
        <v>1.99</v>
      </c>
      <c r="E13" s="5" t="s">
        <v>8</v>
      </c>
      <c r="F13" s="5" t="s">
        <v>9</v>
      </c>
    </row>
    <row r="14" spans="1:9" ht="20" x14ac:dyDescent="0.25">
      <c r="A14" s="4">
        <v>45784</v>
      </c>
      <c r="B14" s="5" t="s">
        <v>15</v>
      </c>
      <c r="C14" s="5">
        <v>-9.99</v>
      </c>
      <c r="D14" s="21">
        <f t="shared" si="0"/>
        <v>9.99</v>
      </c>
      <c r="E14" s="5" t="s">
        <v>8</v>
      </c>
      <c r="F14" s="5" t="s">
        <v>9</v>
      </c>
    </row>
    <row r="15" spans="1:9" ht="20" x14ac:dyDescent="0.25">
      <c r="A15" s="4">
        <v>45785</v>
      </c>
      <c r="B15" s="5" t="s">
        <v>120</v>
      </c>
      <c r="C15" s="5">
        <v>-56.9</v>
      </c>
      <c r="D15" s="21">
        <f t="shared" si="0"/>
        <v>56.9</v>
      </c>
      <c r="E15" s="5" t="s">
        <v>14</v>
      </c>
      <c r="F15" s="5" t="s">
        <v>7</v>
      </c>
    </row>
    <row r="16" spans="1:9" ht="20" x14ac:dyDescent="0.25">
      <c r="A16" s="4">
        <v>45786</v>
      </c>
      <c r="B16" s="5" t="s">
        <v>118</v>
      </c>
      <c r="C16" s="5">
        <v>-5</v>
      </c>
      <c r="D16" s="21">
        <f t="shared" si="0"/>
        <v>5</v>
      </c>
      <c r="E16" s="5" t="s">
        <v>8</v>
      </c>
      <c r="F16" s="5" t="s">
        <v>7</v>
      </c>
    </row>
    <row r="17" spans="1:6" ht="20" x14ac:dyDescent="0.25">
      <c r="A17" s="4">
        <v>45786</v>
      </c>
      <c r="B17" s="5" t="s">
        <v>119</v>
      </c>
      <c r="C17" s="5">
        <v>-11.39</v>
      </c>
      <c r="D17" s="21">
        <f t="shared" si="0"/>
        <v>11.39</v>
      </c>
      <c r="E17" s="5" t="s">
        <v>65</v>
      </c>
      <c r="F17" s="5" t="s">
        <v>7</v>
      </c>
    </row>
    <row r="18" spans="1:6" ht="20" x14ac:dyDescent="0.25">
      <c r="A18" s="4">
        <v>45786</v>
      </c>
      <c r="B18" s="5" t="s">
        <v>41</v>
      </c>
      <c r="C18" s="5">
        <v>-5</v>
      </c>
      <c r="D18" s="21">
        <f t="shared" si="0"/>
        <v>5</v>
      </c>
      <c r="E18" s="5" t="s">
        <v>8</v>
      </c>
      <c r="F18" s="5" t="s">
        <v>9</v>
      </c>
    </row>
    <row r="19" spans="1:6" ht="20" x14ac:dyDescent="0.25">
      <c r="A19" s="4">
        <v>45789</v>
      </c>
      <c r="B19" s="5" t="s">
        <v>53</v>
      </c>
      <c r="C19" s="5">
        <v>-6.73</v>
      </c>
      <c r="D19" s="21">
        <f t="shared" si="0"/>
        <v>6.73</v>
      </c>
      <c r="E19" s="5" t="s">
        <v>65</v>
      </c>
      <c r="F19" s="5" t="s">
        <v>7</v>
      </c>
    </row>
    <row r="20" spans="1:6" ht="20" x14ac:dyDescent="0.25">
      <c r="A20" s="4">
        <v>45789</v>
      </c>
      <c r="B20" s="5" t="s">
        <v>41</v>
      </c>
      <c r="C20" s="5">
        <v>-5</v>
      </c>
      <c r="D20" s="21">
        <f t="shared" si="0"/>
        <v>5</v>
      </c>
      <c r="E20" s="5" t="s">
        <v>8</v>
      </c>
      <c r="F20" s="5" t="s">
        <v>7</v>
      </c>
    </row>
    <row r="21" spans="1:6" ht="20" x14ac:dyDescent="0.25">
      <c r="A21" s="4">
        <v>45789</v>
      </c>
      <c r="B21" s="5" t="s">
        <v>104</v>
      </c>
      <c r="C21" s="5">
        <v>-9.1999999999999993</v>
      </c>
      <c r="D21" s="21">
        <f t="shared" si="0"/>
        <v>9.1999999999999993</v>
      </c>
      <c r="E21" s="5" t="s">
        <v>65</v>
      </c>
      <c r="F21" s="5" t="s">
        <v>7</v>
      </c>
    </row>
    <row r="22" spans="1:6" ht="20" x14ac:dyDescent="0.25">
      <c r="A22" s="4">
        <v>45789</v>
      </c>
      <c r="B22" s="5" t="s">
        <v>118</v>
      </c>
      <c r="C22" s="5">
        <v>-4.25</v>
      </c>
      <c r="D22" s="21">
        <f t="shared" si="0"/>
        <v>4.25</v>
      </c>
      <c r="E22" s="5" t="s">
        <v>8</v>
      </c>
      <c r="F22" s="5" t="s">
        <v>7</v>
      </c>
    </row>
    <row r="23" spans="1:6" ht="20" x14ac:dyDescent="0.25">
      <c r="A23" s="4">
        <v>45789</v>
      </c>
      <c r="B23" s="5" t="s">
        <v>28</v>
      </c>
      <c r="C23" s="5">
        <v>-7.8</v>
      </c>
      <c r="D23" s="21">
        <f t="shared" si="0"/>
        <v>7.8</v>
      </c>
      <c r="E23" s="5" t="s">
        <v>65</v>
      </c>
      <c r="F23" s="5" t="s">
        <v>51</v>
      </c>
    </row>
    <row r="24" spans="1:6" ht="20" x14ac:dyDescent="0.25">
      <c r="A24" s="4">
        <v>45790</v>
      </c>
      <c r="B24" s="5" t="s">
        <v>117</v>
      </c>
      <c r="C24" s="5">
        <v>-107.79</v>
      </c>
      <c r="D24" s="21">
        <f t="shared" si="0"/>
        <v>107.79</v>
      </c>
      <c r="E24" s="5" t="s">
        <v>65</v>
      </c>
      <c r="F24" s="5" t="s">
        <v>7</v>
      </c>
    </row>
    <row r="25" spans="1:6" ht="20" x14ac:dyDescent="0.25">
      <c r="A25" s="4">
        <v>45790</v>
      </c>
      <c r="B25" s="5" t="s">
        <v>133</v>
      </c>
      <c r="C25" s="5">
        <v>-9.09</v>
      </c>
      <c r="D25" s="21">
        <f t="shared" si="0"/>
        <v>9.09</v>
      </c>
      <c r="E25" s="5" t="s">
        <v>65</v>
      </c>
      <c r="F25" s="5" t="s">
        <v>7</v>
      </c>
    </row>
    <row r="26" spans="1:6" ht="20" x14ac:dyDescent="0.25">
      <c r="A26" s="4">
        <v>45791</v>
      </c>
      <c r="B26" s="5" t="s">
        <v>131</v>
      </c>
      <c r="C26" s="5">
        <v>-59.69</v>
      </c>
      <c r="D26" s="21">
        <f t="shared" si="0"/>
        <v>59.69</v>
      </c>
      <c r="E26" s="5" t="s">
        <v>11</v>
      </c>
      <c r="F26" s="5" t="s">
        <v>47</v>
      </c>
    </row>
    <row r="27" spans="1:6" ht="20" x14ac:dyDescent="0.25">
      <c r="A27" s="4">
        <v>45792</v>
      </c>
      <c r="B27" s="5" t="s">
        <v>30</v>
      </c>
      <c r="C27" s="5">
        <v>-31.14</v>
      </c>
      <c r="D27" s="21">
        <f t="shared" si="0"/>
        <v>31.14</v>
      </c>
      <c r="E27" s="5" t="s">
        <v>11</v>
      </c>
      <c r="F27" s="5" t="s">
        <v>21</v>
      </c>
    </row>
    <row r="28" spans="1:6" ht="20" x14ac:dyDescent="0.25">
      <c r="A28" s="4">
        <v>45793</v>
      </c>
      <c r="B28" s="5" t="s">
        <v>10</v>
      </c>
      <c r="C28" s="5">
        <v>-81.16</v>
      </c>
      <c r="D28" s="21">
        <f t="shared" si="0"/>
        <v>81.16</v>
      </c>
      <c r="E28" s="5" t="s">
        <v>11</v>
      </c>
      <c r="F28" s="5" t="s">
        <v>47</v>
      </c>
    </row>
    <row r="29" spans="1:6" ht="20" x14ac:dyDescent="0.25">
      <c r="A29" s="4">
        <v>45795</v>
      </c>
      <c r="B29" s="5" t="s">
        <v>15</v>
      </c>
      <c r="C29" s="5">
        <v>-2.99</v>
      </c>
      <c r="D29" s="21">
        <f t="shared" si="0"/>
        <v>2.99</v>
      </c>
      <c r="E29" s="5" t="s">
        <v>16</v>
      </c>
      <c r="F29" s="5" t="s">
        <v>9</v>
      </c>
    </row>
    <row r="30" spans="1:6" ht="20" x14ac:dyDescent="0.25">
      <c r="A30" s="4">
        <v>45797</v>
      </c>
      <c r="B30" s="5" t="s">
        <v>129</v>
      </c>
      <c r="C30" s="5">
        <v>-20</v>
      </c>
      <c r="D30" s="21">
        <f t="shared" si="0"/>
        <v>20</v>
      </c>
      <c r="E30" s="5" t="s">
        <v>16</v>
      </c>
      <c r="F30" s="5" t="s">
        <v>9</v>
      </c>
    </row>
    <row r="31" spans="1:6" ht="20" x14ac:dyDescent="0.25">
      <c r="A31" s="4">
        <v>45797</v>
      </c>
      <c r="B31" s="5" t="s">
        <v>115</v>
      </c>
      <c r="C31" s="5">
        <v>-10.23</v>
      </c>
      <c r="D31" s="21">
        <f t="shared" si="0"/>
        <v>10.23</v>
      </c>
      <c r="E31" s="5" t="s">
        <v>65</v>
      </c>
      <c r="F31" s="5" t="s">
        <v>7</v>
      </c>
    </row>
    <row r="32" spans="1:6" ht="20" x14ac:dyDescent="0.25">
      <c r="A32" s="4">
        <v>45797</v>
      </c>
      <c r="B32" s="5" t="s">
        <v>116</v>
      </c>
      <c r="C32" s="5">
        <v>-19.86</v>
      </c>
      <c r="D32" s="21">
        <f t="shared" si="0"/>
        <v>19.86</v>
      </c>
      <c r="E32" s="5" t="s">
        <v>65</v>
      </c>
      <c r="F32" s="5" t="s">
        <v>7</v>
      </c>
    </row>
    <row r="33" spans="1:6" ht="20" x14ac:dyDescent="0.25">
      <c r="A33" s="4">
        <v>45798</v>
      </c>
      <c r="B33" s="5" t="s">
        <v>127</v>
      </c>
      <c r="C33" s="5">
        <v>-75.849999999999994</v>
      </c>
      <c r="D33" s="21">
        <f t="shared" si="0"/>
        <v>75.849999999999994</v>
      </c>
      <c r="E33" s="5" t="s">
        <v>98</v>
      </c>
      <c r="F33" s="5" t="s">
        <v>113</v>
      </c>
    </row>
    <row r="34" spans="1:6" ht="20" x14ac:dyDescent="0.25">
      <c r="A34" s="4">
        <v>45798</v>
      </c>
      <c r="B34" s="5" t="s">
        <v>128</v>
      </c>
      <c r="C34" s="5">
        <v>-3250</v>
      </c>
      <c r="D34" s="21">
        <f>-C34+2.49</f>
        <v>3252.49</v>
      </c>
      <c r="E34" s="5" t="s">
        <v>98</v>
      </c>
      <c r="F34" s="5" t="s">
        <v>113</v>
      </c>
    </row>
    <row r="35" spans="1:6" ht="20" x14ac:dyDescent="0.25">
      <c r="A35" s="4">
        <v>45798</v>
      </c>
      <c r="B35" s="5" t="s">
        <v>114</v>
      </c>
      <c r="C35" s="5">
        <v>-1.98</v>
      </c>
      <c r="D35" s="21">
        <f t="shared" ref="D35:D44" si="1">-C35</f>
        <v>1.98</v>
      </c>
      <c r="E35" s="5" t="s">
        <v>8</v>
      </c>
      <c r="F35" s="5" t="s">
        <v>47</v>
      </c>
    </row>
    <row r="36" spans="1:6" ht="20" x14ac:dyDescent="0.25">
      <c r="A36" s="4">
        <v>45800</v>
      </c>
      <c r="B36" s="5" t="s">
        <v>50</v>
      </c>
      <c r="C36" s="5">
        <v>-5.6</v>
      </c>
      <c r="D36" s="21">
        <f t="shared" si="1"/>
        <v>5.6</v>
      </c>
      <c r="E36" s="5" t="s">
        <v>14</v>
      </c>
      <c r="F36" s="5" t="s">
        <v>51</v>
      </c>
    </row>
    <row r="37" spans="1:6" ht="20" x14ac:dyDescent="0.25">
      <c r="A37" s="4">
        <v>45800</v>
      </c>
      <c r="B37" s="5" t="s">
        <v>132</v>
      </c>
      <c r="C37" s="5">
        <v>-10.88</v>
      </c>
      <c r="D37" s="21">
        <f t="shared" si="1"/>
        <v>10.88</v>
      </c>
      <c r="E37" s="5" t="s">
        <v>8</v>
      </c>
      <c r="F37" s="5" t="s">
        <v>9</v>
      </c>
    </row>
    <row r="38" spans="1:6" ht="20" x14ac:dyDescent="0.25">
      <c r="A38" s="4">
        <v>45801</v>
      </c>
      <c r="B38" s="5" t="s">
        <v>75</v>
      </c>
      <c r="C38" s="5">
        <v>-14.07</v>
      </c>
      <c r="D38" s="21">
        <f t="shared" si="1"/>
        <v>14.07</v>
      </c>
      <c r="E38" s="5" t="s">
        <v>11</v>
      </c>
      <c r="F38" s="5" t="s">
        <v>47</v>
      </c>
    </row>
    <row r="39" spans="1:6" ht="20" x14ac:dyDescent="0.25">
      <c r="A39" s="4">
        <v>45802</v>
      </c>
      <c r="B39" s="5" t="s">
        <v>36</v>
      </c>
      <c r="C39" s="5">
        <v>-13.23</v>
      </c>
      <c r="D39" s="21">
        <f t="shared" si="1"/>
        <v>13.23</v>
      </c>
      <c r="E39" s="5" t="s">
        <v>65</v>
      </c>
      <c r="F39" s="5" t="s">
        <v>113</v>
      </c>
    </row>
    <row r="40" spans="1:6" ht="20" x14ac:dyDescent="0.25">
      <c r="A40" s="4">
        <v>45803</v>
      </c>
      <c r="B40" s="5" t="s">
        <v>72</v>
      </c>
      <c r="C40" s="5">
        <v>-30</v>
      </c>
      <c r="D40" s="21">
        <f t="shared" si="1"/>
        <v>30</v>
      </c>
      <c r="E40" s="5" t="s">
        <v>98</v>
      </c>
      <c r="F40" s="5" t="s">
        <v>47</v>
      </c>
    </row>
    <row r="41" spans="1:6" ht="20" x14ac:dyDescent="0.25">
      <c r="A41" s="4">
        <v>45805</v>
      </c>
      <c r="B41" s="5" t="s">
        <v>15</v>
      </c>
      <c r="C41" s="5">
        <v>-3.99</v>
      </c>
      <c r="D41" s="21">
        <f t="shared" si="1"/>
        <v>3.99</v>
      </c>
      <c r="E41" s="5" t="s">
        <v>8</v>
      </c>
      <c r="F41" s="5" t="s">
        <v>9</v>
      </c>
    </row>
    <row r="42" spans="1:6" ht="20" x14ac:dyDescent="0.25">
      <c r="A42" s="4">
        <v>45805</v>
      </c>
      <c r="B42" s="5" t="s">
        <v>131</v>
      </c>
      <c r="C42" s="5">
        <v>-10.76</v>
      </c>
      <c r="D42" s="21">
        <f t="shared" si="1"/>
        <v>10.76</v>
      </c>
      <c r="E42" s="5" t="s">
        <v>11</v>
      </c>
      <c r="F42" s="5" t="s">
        <v>47</v>
      </c>
    </row>
    <row r="43" spans="1:6" ht="20" x14ac:dyDescent="0.25">
      <c r="A43" s="4">
        <v>45806</v>
      </c>
      <c r="B43" s="5" t="s">
        <v>94</v>
      </c>
      <c r="C43" s="5">
        <v>-22.96</v>
      </c>
      <c r="D43" s="21">
        <f t="shared" si="1"/>
        <v>22.96</v>
      </c>
      <c r="E43" s="5" t="s">
        <v>11</v>
      </c>
      <c r="F43" s="5" t="s">
        <v>47</v>
      </c>
    </row>
    <row r="44" spans="1:6" ht="20" x14ac:dyDescent="0.25">
      <c r="A44" s="4">
        <v>45808</v>
      </c>
      <c r="B44" s="5" t="s">
        <v>10</v>
      </c>
      <c r="C44" s="5">
        <v>-29.68</v>
      </c>
      <c r="D44" s="21">
        <f t="shared" si="1"/>
        <v>29.68</v>
      </c>
      <c r="E44" s="5" t="s">
        <v>11</v>
      </c>
      <c r="F44" s="5" t="s">
        <v>47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E82A-2319-034B-8C29-615D0B213452}">
  <dimension ref="A1:J37"/>
  <sheetViews>
    <sheetView workbookViewId="0">
      <selection sqref="A1:F1"/>
    </sheetView>
  </sheetViews>
  <sheetFormatPr baseColWidth="10" defaultRowHeight="20" x14ac:dyDescent="0.25"/>
  <cols>
    <col min="1" max="1" width="10.83203125" style="5"/>
    <col min="2" max="2" width="45.6640625" style="5" bestFit="1" customWidth="1"/>
    <col min="3" max="3" width="0" style="5" hidden="1" customWidth="1"/>
    <col min="4" max="4" width="13.1640625" style="5" customWidth="1"/>
    <col min="5" max="5" width="22.6640625" style="5" bestFit="1" customWidth="1"/>
    <col min="6" max="6" width="45.5" style="5" bestFit="1" customWidth="1"/>
    <col min="7" max="7" width="10.83203125" style="5"/>
    <col min="8" max="8" width="15.6640625" style="5" bestFit="1" customWidth="1"/>
    <col min="9" max="9" width="11.5" style="5" bestFit="1" customWidth="1"/>
    <col min="10" max="16384" width="10.83203125" style="5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0" x14ac:dyDescent="0.25">
      <c r="A2" s="4">
        <v>45809</v>
      </c>
      <c r="B2" s="5" t="s">
        <v>144</v>
      </c>
      <c r="D2" s="21">
        <v>95</v>
      </c>
      <c r="E2" s="5" t="s">
        <v>8</v>
      </c>
      <c r="F2" s="5" t="s">
        <v>145</v>
      </c>
      <c r="H2" s="49" t="s">
        <v>4</v>
      </c>
      <c r="I2" s="52" t="s">
        <v>138</v>
      </c>
      <c r="J2"/>
    </row>
    <row r="3" spans="1:10" x14ac:dyDescent="0.25">
      <c r="A3" s="4">
        <v>45809</v>
      </c>
      <c r="B3" s="5" t="s">
        <v>135</v>
      </c>
      <c r="C3" s="5">
        <v>-10.99</v>
      </c>
      <c r="D3" s="21">
        <f>-C3</f>
        <v>10.99</v>
      </c>
      <c r="E3" s="5" t="s">
        <v>16</v>
      </c>
      <c r="F3" s="5" t="s">
        <v>9</v>
      </c>
      <c r="H3" s="50" t="s">
        <v>6</v>
      </c>
      <c r="I3" s="51">
        <v>200.28666666666669</v>
      </c>
      <c r="J3"/>
    </row>
    <row r="4" spans="1:10" x14ac:dyDescent="0.25">
      <c r="A4" s="4">
        <v>45810</v>
      </c>
      <c r="B4" s="5" t="s">
        <v>36</v>
      </c>
      <c r="C4" s="5">
        <v>-12.68</v>
      </c>
      <c r="D4" s="21">
        <f>-C4</f>
        <v>12.68</v>
      </c>
      <c r="E4" s="5" t="s">
        <v>6</v>
      </c>
      <c r="F4" s="5" t="s">
        <v>113</v>
      </c>
      <c r="H4" s="50" t="s">
        <v>11</v>
      </c>
      <c r="I4" s="51">
        <v>22.869999999999997</v>
      </c>
      <c r="J4"/>
    </row>
    <row r="5" spans="1:10" x14ac:dyDescent="0.25">
      <c r="A5" s="4">
        <v>45810</v>
      </c>
      <c r="B5" s="5" t="s">
        <v>41</v>
      </c>
      <c r="C5" s="5">
        <v>-1.99</v>
      </c>
      <c r="D5" s="21">
        <f>-C5</f>
        <v>1.99</v>
      </c>
      <c r="E5" s="5" t="s">
        <v>8</v>
      </c>
      <c r="F5" s="5" t="s">
        <v>47</v>
      </c>
      <c r="H5" s="50" t="s">
        <v>98</v>
      </c>
      <c r="I5" s="51">
        <v>83.06</v>
      </c>
      <c r="J5"/>
    </row>
    <row r="6" spans="1:10" x14ac:dyDescent="0.25">
      <c r="A6" s="4">
        <v>45810</v>
      </c>
      <c r="B6" s="5" t="s">
        <v>75</v>
      </c>
      <c r="C6" s="5">
        <v>-4.49</v>
      </c>
      <c r="D6" s="21">
        <f>-C6</f>
        <v>4.49</v>
      </c>
      <c r="E6" s="5" t="s">
        <v>11</v>
      </c>
      <c r="F6" s="5" t="s">
        <v>47</v>
      </c>
      <c r="H6" s="50" t="s">
        <v>8</v>
      </c>
      <c r="I6" s="51">
        <v>240.82666666666671</v>
      </c>
      <c r="J6"/>
    </row>
    <row r="7" spans="1:10" x14ac:dyDescent="0.25">
      <c r="A7" s="4">
        <v>45812</v>
      </c>
      <c r="B7" s="5" t="s">
        <v>139</v>
      </c>
      <c r="D7" s="21">
        <v>2.69</v>
      </c>
      <c r="E7" s="5" t="s">
        <v>11</v>
      </c>
      <c r="F7" s="5" t="s">
        <v>47</v>
      </c>
      <c r="H7" s="50" t="s">
        <v>13</v>
      </c>
      <c r="I7" s="51">
        <v>56.09</v>
      </c>
      <c r="J7"/>
    </row>
    <row r="8" spans="1:10" x14ac:dyDescent="0.25">
      <c r="A8" s="4">
        <v>45813</v>
      </c>
      <c r="B8" s="5" t="s">
        <v>146</v>
      </c>
      <c r="D8" s="21">
        <f>12.19+5.08</f>
        <v>17.27</v>
      </c>
      <c r="E8" s="5" t="s">
        <v>6</v>
      </c>
      <c r="F8" s="5" t="s">
        <v>145</v>
      </c>
      <c r="H8" s="50" t="s">
        <v>16</v>
      </c>
      <c r="I8" s="51">
        <v>10.99</v>
      </c>
      <c r="J8"/>
    </row>
    <row r="9" spans="1:10" x14ac:dyDescent="0.25">
      <c r="A9" s="4">
        <v>45814</v>
      </c>
      <c r="B9" s="5" t="s">
        <v>136</v>
      </c>
      <c r="C9" s="5">
        <v>-29.53</v>
      </c>
      <c r="D9" s="21">
        <f>-C9</f>
        <v>29.53</v>
      </c>
      <c r="E9" s="5" t="s">
        <v>6</v>
      </c>
      <c r="F9" s="5" t="s">
        <v>9</v>
      </c>
      <c r="H9" s="50" t="s">
        <v>39</v>
      </c>
      <c r="I9" s="51">
        <v>614.12333333333345</v>
      </c>
      <c r="J9"/>
    </row>
    <row r="10" spans="1:10" x14ac:dyDescent="0.25">
      <c r="A10" s="4">
        <v>45815</v>
      </c>
      <c r="B10" s="5" t="s">
        <v>147</v>
      </c>
      <c r="D10" s="21">
        <v>10.19</v>
      </c>
      <c r="E10" s="5" t="s">
        <v>6</v>
      </c>
      <c r="F10" s="5" t="s">
        <v>145</v>
      </c>
      <c r="H10" s="50"/>
      <c r="I10" s="51"/>
      <c r="J10"/>
    </row>
    <row r="11" spans="1:10" x14ac:dyDescent="0.25">
      <c r="A11" s="4">
        <v>45815</v>
      </c>
      <c r="B11" s="5" t="s">
        <v>15</v>
      </c>
      <c r="C11" s="5">
        <v>-9.99</v>
      </c>
      <c r="D11" s="21">
        <f>-C11</f>
        <v>9.99</v>
      </c>
      <c r="E11" s="5" t="s">
        <v>8</v>
      </c>
      <c r="F11" s="5" t="s">
        <v>9</v>
      </c>
      <c r="H11" s="50"/>
      <c r="I11" s="51"/>
      <c r="J11"/>
    </row>
    <row r="12" spans="1:10" x14ac:dyDescent="0.25">
      <c r="A12" s="4">
        <v>45815</v>
      </c>
      <c r="B12" s="5" t="s">
        <v>75</v>
      </c>
      <c r="D12" s="21">
        <v>11.2</v>
      </c>
      <c r="E12" s="5" t="s">
        <v>11</v>
      </c>
      <c r="F12" s="5" t="s">
        <v>47</v>
      </c>
      <c r="H12" s="50"/>
      <c r="I12" s="51"/>
      <c r="J12"/>
    </row>
    <row r="13" spans="1:10" x14ac:dyDescent="0.25">
      <c r="A13" s="4">
        <v>45817</v>
      </c>
      <c r="B13" s="5" t="s">
        <v>148</v>
      </c>
      <c r="D13" s="21">
        <v>12.29</v>
      </c>
      <c r="E13" s="5" t="s">
        <v>6</v>
      </c>
      <c r="F13" s="5" t="s">
        <v>145</v>
      </c>
      <c r="H13" s="50"/>
      <c r="I13" s="51"/>
      <c r="J13"/>
    </row>
    <row r="14" spans="1:10" x14ac:dyDescent="0.25">
      <c r="A14" s="4">
        <v>45817</v>
      </c>
      <c r="B14" s="5" t="s">
        <v>41</v>
      </c>
      <c r="D14" s="21">
        <v>5</v>
      </c>
      <c r="E14" s="5" t="s">
        <v>8</v>
      </c>
      <c r="F14" s="5" t="s">
        <v>47</v>
      </c>
      <c r="H14"/>
      <c r="I14"/>
      <c r="J14"/>
    </row>
    <row r="15" spans="1:10" x14ac:dyDescent="0.25">
      <c r="A15" s="4">
        <v>45817</v>
      </c>
      <c r="B15" s="5" t="s">
        <v>41</v>
      </c>
      <c r="D15" s="21">
        <v>10</v>
      </c>
      <c r="E15" s="5" t="s">
        <v>8</v>
      </c>
      <c r="F15" s="5" t="s">
        <v>47</v>
      </c>
      <c r="H15"/>
      <c r="I15"/>
      <c r="J15"/>
    </row>
    <row r="16" spans="1:10" x14ac:dyDescent="0.25">
      <c r="A16" s="4">
        <v>45818</v>
      </c>
      <c r="B16" s="5" t="s">
        <v>149</v>
      </c>
      <c r="D16" s="21">
        <v>13.86</v>
      </c>
      <c r="E16" s="5" t="s">
        <v>6</v>
      </c>
      <c r="F16" s="5" t="s">
        <v>145</v>
      </c>
      <c r="H16"/>
      <c r="I16"/>
      <c r="J16"/>
    </row>
    <row r="17" spans="1:10" x14ac:dyDescent="0.25">
      <c r="A17" s="4">
        <v>45818</v>
      </c>
      <c r="B17" s="5" t="s">
        <v>140</v>
      </c>
      <c r="D17" s="21">
        <v>50</v>
      </c>
      <c r="E17" s="5" t="s">
        <v>13</v>
      </c>
      <c r="F17" s="5" t="s">
        <v>47</v>
      </c>
      <c r="H17"/>
      <c r="I17"/>
      <c r="J17"/>
    </row>
    <row r="18" spans="1:10" x14ac:dyDescent="0.25">
      <c r="A18" s="4">
        <v>45818</v>
      </c>
      <c r="B18" s="6" t="s">
        <v>23</v>
      </c>
      <c r="C18" s="5">
        <v>-6.09</v>
      </c>
      <c r="D18" s="21">
        <f>-C18</f>
        <v>6.09</v>
      </c>
      <c r="E18" s="5" t="s">
        <v>13</v>
      </c>
      <c r="F18" s="5" t="s">
        <v>9</v>
      </c>
      <c r="H18"/>
      <c r="I18"/>
      <c r="J18"/>
    </row>
    <row r="19" spans="1:10" x14ac:dyDescent="0.25">
      <c r="A19" s="4">
        <v>45818</v>
      </c>
      <c r="B19" s="5" t="s">
        <v>141</v>
      </c>
      <c r="D19" s="21">
        <v>35.700000000000003</v>
      </c>
      <c r="E19" s="5" t="s">
        <v>8</v>
      </c>
      <c r="F19" s="5" t="s">
        <v>47</v>
      </c>
      <c r="H19"/>
      <c r="I19"/>
      <c r="J19"/>
    </row>
    <row r="20" spans="1:10" x14ac:dyDescent="0.25">
      <c r="A20" s="4">
        <v>45820</v>
      </c>
      <c r="B20" s="5" t="s">
        <v>150</v>
      </c>
      <c r="D20" s="21">
        <v>16.82</v>
      </c>
      <c r="E20" s="5" t="s">
        <v>6</v>
      </c>
      <c r="F20" s="5" t="s">
        <v>145</v>
      </c>
      <c r="H20"/>
      <c r="I20"/>
      <c r="J20"/>
    </row>
    <row r="21" spans="1:10" x14ac:dyDescent="0.25">
      <c r="A21" s="4">
        <v>45822</v>
      </c>
      <c r="B21" s="5" t="s">
        <v>151</v>
      </c>
      <c r="D21" s="21">
        <v>16.666666666666668</v>
      </c>
      <c r="E21" s="5" t="s">
        <v>6</v>
      </c>
      <c r="F21" s="5" t="s">
        <v>145</v>
      </c>
      <c r="H21"/>
      <c r="I21"/>
      <c r="J21"/>
    </row>
    <row r="22" spans="1:10" x14ac:dyDescent="0.25">
      <c r="A22" s="4">
        <v>45822</v>
      </c>
      <c r="B22" s="5" t="s">
        <v>152</v>
      </c>
      <c r="D22" s="21">
        <v>19.399999999999999</v>
      </c>
      <c r="E22" s="5" t="s">
        <v>6</v>
      </c>
      <c r="F22" s="5" t="s">
        <v>145</v>
      </c>
      <c r="H22"/>
      <c r="I22"/>
      <c r="J22"/>
    </row>
    <row r="23" spans="1:10" x14ac:dyDescent="0.25">
      <c r="A23" s="4">
        <v>45824</v>
      </c>
      <c r="B23" s="5" t="s">
        <v>142</v>
      </c>
      <c r="D23" s="21">
        <f>4.52+3.5</f>
        <v>8.02</v>
      </c>
      <c r="E23" s="5" t="s">
        <v>8</v>
      </c>
      <c r="F23" s="5" t="s">
        <v>47</v>
      </c>
      <c r="H23"/>
      <c r="I23"/>
      <c r="J23"/>
    </row>
    <row r="24" spans="1:10" x14ac:dyDescent="0.25">
      <c r="A24" s="4">
        <v>45826</v>
      </c>
      <c r="B24" s="5" t="s">
        <v>15</v>
      </c>
      <c r="C24" s="5">
        <v>-2.99</v>
      </c>
      <c r="D24" s="21">
        <f>-C24</f>
        <v>2.99</v>
      </c>
      <c r="E24" s="5" t="s">
        <v>8</v>
      </c>
      <c r="F24" s="5" t="s">
        <v>9</v>
      </c>
      <c r="H24"/>
      <c r="I24"/>
      <c r="J24"/>
    </row>
    <row r="25" spans="1:10" x14ac:dyDescent="0.25">
      <c r="A25" s="4">
        <v>45828</v>
      </c>
      <c r="B25" s="5" t="s">
        <v>127</v>
      </c>
      <c r="C25" s="5">
        <v>-83.06</v>
      </c>
      <c r="D25" s="21">
        <f>-C25</f>
        <v>83.06</v>
      </c>
      <c r="E25" s="5" t="s">
        <v>98</v>
      </c>
      <c r="F25" s="5" t="s">
        <v>113</v>
      </c>
      <c r="H25"/>
      <c r="I25"/>
      <c r="J25"/>
    </row>
    <row r="26" spans="1:10" x14ac:dyDescent="0.25">
      <c r="A26" s="4">
        <v>45828</v>
      </c>
      <c r="B26" s="5" t="s">
        <v>134</v>
      </c>
      <c r="C26" s="5">
        <v>-20</v>
      </c>
      <c r="D26" s="21">
        <f>-C26</f>
        <v>20</v>
      </c>
      <c r="E26" s="5" t="s">
        <v>8</v>
      </c>
      <c r="F26" s="5" t="s">
        <v>9</v>
      </c>
      <c r="H26"/>
      <c r="I26"/>
      <c r="J26"/>
    </row>
    <row r="27" spans="1:10" x14ac:dyDescent="0.25">
      <c r="A27" s="4">
        <v>45828</v>
      </c>
      <c r="B27" s="5" t="s">
        <v>137</v>
      </c>
      <c r="C27" s="5">
        <v>-24.44</v>
      </c>
      <c r="D27" s="21">
        <f>-C27/3</f>
        <v>8.1466666666666665</v>
      </c>
      <c r="E27" s="5" t="s">
        <v>8</v>
      </c>
      <c r="F27" s="5" t="s">
        <v>9</v>
      </c>
      <c r="H27"/>
      <c r="I27"/>
      <c r="J27"/>
    </row>
    <row r="28" spans="1:10" x14ac:dyDescent="0.25">
      <c r="A28" s="4">
        <v>45834</v>
      </c>
      <c r="B28" s="5" t="s">
        <v>153</v>
      </c>
      <c r="D28" s="21">
        <v>11.55</v>
      </c>
      <c r="E28" s="5" t="s">
        <v>6</v>
      </c>
      <c r="F28" s="5" t="s">
        <v>145</v>
      </c>
      <c r="H28"/>
      <c r="I28"/>
      <c r="J28"/>
    </row>
    <row r="29" spans="1:10" x14ac:dyDescent="0.25">
      <c r="A29" s="4">
        <v>45834</v>
      </c>
      <c r="B29" s="5" t="s">
        <v>143</v>
      </c>
      <c r="D29" s="21">
        <v>30</v>
      </c>
      <c r="E29" s="5" t="s">
        <v>8</v>
      </c>
      <c r="F29" s="5" t="s">
        <v>47</v>
      </c>
      <c r="H29"/>
      <c r="I29"/>
      <c r="J29"/>
    </row>
    <row r="30" spans="1:10" x14ac:dyDescent="0.25">
      <c r="A30" s="4">
        <v>45836</v>
      </c>
      <c r="B30" s="5" t="s">
        <v>15</v>
      </c>
      <c r="C30" s="5">
        <v>-3.99</v>
      </c>
      <c r="D30" s="21">
        <f>-C30</f>
        <v>3.99</v>
      </c>
      <c r="E30" s="5" t="s">
        <v>8</v>
      </c>
      <c r="F30" s="5" t="s">
        <v>9</v>
      </c>
      <c r="H30"/>
      <c r="I30"/>
      <c r="J30"/>
    </row>
    <row r="31" spans="1:10" x14ac:dyDescent="0.25">
      <c r="A31" s="4">
        <v>45836</v>
      </c>
      <c r="B31" s="5" t="s">
        <v>41</v>
      </c>
      <c r="D31" s="21">
        <v>10</v>
      </c>
      <c r="E31" s="5" t="s">
        <v>8</v>
      </c>
      <c r="F31" s="5" t="s">
        <v>47</v>
      </c>
      <c r="H31"/>
      <c r="I31"/>
      <c r="J31"/>
    </row>
    <row r="32" spans="1:10" x14ac:dyDescent="0.25">
      <c r="A32" s="4">
        <v>45836</v>
      </c>
      <c r="B32" s="5" t="s">
        <v>75</v>
      </c>
      <c r="C32" s="5">
        <v>-4.49</v>
      </c>
      <c r="D32" s="21">
        <f>-C32</f>
        <v>4.49</v>
      </c>
      <c r="E32" s="5" t="s">
        <v>11</v>
      </c>
      <c r="F32" s="5" t="s">
        <v>113</v>
      </c>
      <c r="H32"/>
      <c r="I32"/>
      <c r="J32"/>
    </row>
    <row r="33" spans="1:10" x14ac:dyDescent="0.25">
      <c r="A33" s="4">
        <v>45838</v>
      </c>
      <c r="B33" s="5" t="s">
        <v>154</v>
      </c>
      <c r="D33" s="21">
        <v>30.78</v>
      </c>
      <c r="E33" s="5" t="s">
        <v>6</v>
      </c>
      <c r="F33" s="5" t="s">
        <v>145</v>
      </c>
      <c r="H33"/>
      <c r="I33"/>
      <c r="J33"/>
    </row>
    <row r="34" spans="1:10" x14ac:dyDescent="0.25">
      <c r="A34" s="4">
        <v>45838</v>
      </c>
      <c r="B34" s="4" t="s">
        <v>155</v>
      </c>
      <c r="D34" s="21">
        <v>9.25</v>
      </c>
      <c r="E34" s="5" t="s">
        <v>6</v>
      </c>
      <c r="F34" s="5" t="s">
        <v>145</v>
      </c>
      <c r="H34"/>
      <c r="I34"/>
      <c r="J34"/>
    </row>
    <row r="35" spans="1:10" x14ac:dyDescent="0.25">
      <c r="A35" s="4"/>
      <c r="D35" s="21"/>
    </row>
    <row r="36" spans="1:10" x14ac:dyDescent="0.25">
      <c r="D36" s="21"/>
    </row>
    <row r="37" spans="1:10" x14ac:dyDescent="0.25">
      <c r="B37" s="5" t="s">
        <v>42</v>
      </c>
      <c r="D37" s="21">
        <f>SUM(June_25[Amount2])</f>
        <v>614.12333333333322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586D-B163-A842-AD5A-AEB022B6E5BB}">
  <dimension ref="A1:I66"/>
  <sheetViews>
    <sheetView workbookViewId="0">
      <selection sqref="A1:F1"/>
    </sheetView>
  </sheetViews>
  <sheetFormatPr baseColWidth="10" defaultRowHeight="16" x14ac:dyDescent="0.2"/>
  <cols>
    <col min="2" max="2" width="31.6640625" customWidth="1"/>
    <col min="3" max="3" width="10.5" hidden="1" customWidth="1"/>
    <col min="4" max="4" width="13.1640625" customWidth="1"/>
    <col min="5" max="5" width="22.6640625" bestFit="1" customWidth="1"/>
    <col min="6" max="6" width="45.5" bestFit="1" customWidth="1"/>
    <col min="8" max="8" width="15.6640625" bestFit="1" customWidth="1"/>
    <col min="9" max="9" width="13.5" bestFit="1" customWidth="1"/>
  </cols>
  <sheetData>
    <row r="1" spans="1:9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53" t="s">
        <v>4</v>
      </c>
      <c r="I1" s="53" t="s">
        <v>44</v>
      </c>
    </row>
    <row r="2" spans="1:9" ht="20" x14ac:dyDescent="0.25">
      <c r="A2" s="4">
        <v>45839</v>
      </c>
      <c r="B2" s="5" t="s">
        <v>135</v>
      </c>
      <c r="C2" s="5">
        <v>-10.99</v>
      </c>
      <c r="D2" s="21">
        <f t="shared" ref="D2:D18" si="0">-C2</f>
        <v>10.99</v>
      </c>
      <c r="E2" s="5" t="s">
        <v>16</v>
      </c>
      <c r="F2" s="5" t="s">
        <v>9</v>
      </c>
      <c r="H2" s="29" t="s">
        <v>16</v>
      </c>
      <c r="I2" s="33">
        <v>67.98</v>
      </c>
    </row>
    <row r="3" spans="1:9" ht="20" x14ac:dyDescent="0.25">
      <c r="A3" s="4">
        <v>45840</v>
      </c>
      <c r="B3" s="5" t="s">
        <v>168</v>
      </c>
      <c r="C3" s="5">
        <v>-18.28</v>
      </c>
      <c r="D3" s="21">
        <f t="shared" si="0"/>
        <v>18.28</v>
      </c>
      <c r="E3" s="5" t="s">
        <v>11</v>
      </c>
      <c r="F3" s="5" t="s">
        <v>47</v>
      </c>
      <c r="H3" s="29" t="s">
        <v>11</v>
      </c>
      <c r="I3" s="33">
        <v>283.31</v>
      </c>
    </row>
    <row r="4" spans="1:9" ht="20" x14ac:dyDescent="0.25">
      <c r="A4" s="4">
        <v>45840</v>
      </c>
      <c r="B4" s="5" t="s">
        <v>157</v>
      </c>
      <c r="C4" s="5">
        <v>-1.99</v>
      </c>
      <c r="D4" s="21">
        <f t="shared" si="0"/>
        <v>1.99</v>
      </c>
      <c r="E4" s="5" t="s">
        <v>169</v>
      </c>
      <c r="F4" s="5" t="s">
        <v>47</v>
      </c>
      <c r="H4" s="29" t="s">
        <v>98</v>
      </c>
      <c r="I4" s="33">
        <v>3380.62</v>
      </c>
    </row>
    <row r="5" spans="1:9" ht="20" x14ac:dyDescent="0.25">
      <c r="A5" s="4">
        <v>45841</v>
      </c>
      <c r="B5" s="5" t="s">
        <v>75</v>
      </c>
      <c r="C5" s="5">
        <v>-6.04</v>
      </c>
      <c r="D5" s="21">
        <f t="shared" si="0"/>
        <v>6.04</v>
      </c>
      <c r="E5" s="5" t="s">
        <v>11</v>
      </c>
      <c r="F5" s="5" t="s">
        <v>170</v>
      </c>
      <c r="H5" s="29" t="s">
        <v>169</v>
      </c>
      <c r="I5" s="33">
        <v>21.240000000000002</v>
      </c>
    </row>
    <row r="6" spans="1:9" ht="20" x14ac:dyDescent="0.25">
      <c r="A6" s="4">
        <v>45841</v>
      </c>
      <c r="B6" s="5" t="s">
        <v>101</v>
      </c>
      <c r="C6" s="5">
        <v>-34.159999999999997</v>
      </c>
      <c r="D6" s="21">
        <f t="shared" si="0"/>
        <v>34.159999999999997</v>
      </c>
      <c r="E6" s="5" t="s">
        <v>6</v>
      </c>
      <c r="F6" s="5" t="s">
        <v>170</v>
      </c>
      <c r="H6" s="29" t="s">
        <v>8</v>
      </c>
      <c r="I6" s="33">
        <v>35.700000000000003</v>
      </c>
    </row>
    <row r="7" spans="1:9" ht="20" x14ac:dyDescent="0.25">
      <c r="A7" s="4">
        <v>45842</v>
      </c>
      <c r="B7" s="5" t="s">
        <v>75</v>
      </c>
      <c r="C7" s="5">
        <v>-7.27</v>
      </c>
      <c r="D7" s="21">
        <f t="shared" si="0"/>
        <v>7.27</v>
      </c>
      <c r="E7" s="5" t="s">
        <v>11</v>
      </c>
      <c r="F7" s="5" t="s">
        <v>47</v>
      </c>
      <c r="H7" s="29" t="s">
        <v>6</v>
      </c>
      <c r="I7" s="33">
        <v>244.76633333333334</v>
      </c>
    </row>
    <row r="8" spans="1:9" ht="20" x14ac:dyDescent="0.25">
      <c r="A8" s="4">
        <v>45842</v>
      </c>
      <c r="B8" s="5" t="s">
        <v>10</v>
      </c>
      <c r="C8" s="5">
        <v>-38.840000000000003</v>
      </c>
      <c r="D8" s="21">
        <f t="shared" si="0"/>
        <v>38.840000000000003</v>
      </c>
      <c r="E8" s="5" t="s">
        <v>11</v>
      </c>
      <c r="F8" s="5" t="s">
        <v>47</v>
      </c>
      <c r="H8" s="29" t="s">
        <v>13</v>
      </c>
      <c r="I8" s="33">
        <v>499.32500000000005</v>
      </c>
    </row>
    <row r="9" spans="1:9" ht="20" x14ac:dyDescent="0.25">
      <c r="A9" s="4">
        <v>45842</v>
      </c>
      <c r="B9" s="5" t="s">
        <v>53</v>
      </c>
      <c r="C9" s="5">
        <v>-3.35</v>
      </c>
      <c r="D9" s="21">
        <f t="shared" si="0"/>
        <v>3.35</v>
      </c>
      <c r="E9" s="5" t="s">
        <v>6</v>
      </c>
      <c r="F9" s="5" t="s">
        <v>170</v>
      </c>
      <c r="H9" s="54" t="s">
        <v>39</v>
      </c>
      <c r="I9" s="55">
        <v>4532.9413333333332</v>
      </c>
    </row>
    <row r="10" spans="1:9" ht="20" x14ac:dyDescent="0.25">
      <c r="A10" s="4">
        <v>45845</v>
      </c>
      <c r="B10" s="5" t="s">
        <v>10</v>
      </c>
      <c r="C10" s="5">
        <v>-23.42</v>
      </c>
      <c r="D10" s="21">
        <f t="shared" si="0"/>
        <v>23.42</v>
      </c>
      <c r="E10" s="5" t="s">
        <v>11</v>
      </c>
      <c r="F10" s="5" t="s">
        <v>47</v>
      </c>
    </row>
    <row r="11" spans="1:9" ht="20" x14ac:dyDescent="0.25">
      <c r="A11" s="4">
        <v>45845</v>
      </c>
      <c r="B11" s="5" t="s">
        <v>167</v>
      </c>
      <c r="C11" s="5">
        <v>-78.95</v>
      </c>
      <c r="D11" s="21">
        <f t="shared" si="0"/>
        <v>78.95</v>
      </c>
      <c r="E11" s="5" t="s">
        <v>13</v>
      </c>
      <c r="F11" s="5" t="s">
        <v>47</v>
      </c>
    </row>
    <row r="12" spans="1:9" ht="20" x14ac:dyDescent="0.25">
      <c r="A12" s="4">
        <v>45845</v>
      </c>
      <c r="B12" s="5" t="s">
        <v>15</v>
      </c>
      <c r="C12" s="5">
        <v>-9.99</v>
      </c>
      <c r="D12" s="21">
        <f t="shared" si="0"/>
        <v>9.99</v>
      </c>
      <c r="E12" s="5" t="s">
        <v>16</v>
      </c>
      <c r="F12" s="5" t="s">
        <v>9</v>
      </c>
    </row>
    <row r="13" spans="1:9" ht="20" x14ac:dyDescent="0.25">
      <c r="A13" s="4">
        <v>45845</v>
      </c>
      <c r="B13" s="5" t="s">
        <v>30</v>
      </c>
      <c r="C13" s="5">
        <v>-24.94</v>
      </c>
      <c r="D13" s="21">
        <f t="shared" si="0"/>
        <v>24.94</v>
      </c>
      <c r="E13" s="5" t="s">
        <v>11</v>
      </c>
      <c r="F13" s="5" t="s">
        <v>21</v>
      </c>
    </row>
    <row r="14" spans="1:9" ht="20" x14ac:dyDescent="0.25">
      <c r="A14" s="4">
        <v>45846</v>
      </c>
      <c r="B14" s="5" t="s">
        <v>157</v>
      </c>
      <c r="C14" s="5">
        <v>-4.25</v>
      </c>
      <c r="D14" s="21">
        <f t="shared" si="0"/>
        <v>4.25</v>
      </c>
      <c r="E14" s="5" t="s">
        <v>169</v>
      </c>
      <c r="F14" s="5" t="s">
        <v>47</v>
      </c>
    </row>
    <row r="15" spans="1:9" ht="20" x14ac:dyDescent="0.25">
      <c r="A15" s="4">
        <v>45846</v>
      </c>
      <c r="B15" s="5" t="s">
        <v>157</v>
      </c>
      <c r="C15" s="5">
        <v>-5</v>
      </c>
      <c r="D15" s="21">
        <f t="shared" si="0"/>
        <v>5</v>
      </c>
      <c r="E15" s="5" t="s">
        <v>169</v>
      </c>
      <c r="F15" s="5" t="s">
        <v>47</v>
      </c>
    </row>
    <row r="16" spans="1:9" ht="20" x14ac:dyDescent="0.25">
      <c r="A16" s="4">
        <v>45846</v>
      </c>
      <c r="B16" s="5" t="s">
        <v>185</v>
      </c>
      <c r="C16" s="5">
        <v>-76.16</v>
      </c>
      <c r="D16" s="21">
        <f t="shared" si="0"/>
        <v>76.16</v>
      </c>
      <c r="E16" s="5" t="s">
        <v>13</v>
      </c>
      <c r="F16" s="5" t="s">
        <v>9</v>
      </c>
    </row>
    <row r="17" spans="1:6" ht="20" x14ac:dyDescent="0.25">
      <c r="A17" s="4">
        <v>45846</v>
      </c>
      <c r="B17" s="5" t="s">
        <v>184</v>
      </c>
      <c r="C17" s="5">
        <v>-162.22</v>
      </c>
      <c r="D17" s="21">
        <f t="shared" si="0"/>
        <v>162.22</v>
      </c>
      <c r="E17" s="5" t="s">
        <v>13</v>
      </c>
      <c r="F17" s="5" t="s">
        <v>9</v>
      </c>
    </row>
    <row r="18" spans="1:6" ht="20" x14ac:dyDescent="0.25">
      <c r="A18" s="4">
        <v>45847</v>
      </c>
      <c r="B18" s="5" t="s">
        <v>10</v>
      </c>
      <c r="C18" s="5">
        <v>-30.91</v>
      </c>
      <c r="D18" s="21">
        <f t="shared" si="0"/>
        <v>30.91</v>
      </c>
      <c r="E18" s="5" t="s">
        <v>11</v>
      </c>
      <c r="F18" s="5" t="s">
        <v>47</v>
      </c>
    </row>
    <row r="19" spans="1:6" ht="20" x14ac:dyDescent="0.25">
      <c r="A19" s="4">
        <v>45848</v>
      </c>
      <c r="B19" s="5" t="s">
        <v>166</v>
      </c>
      <c r="C19" s="5">
        <v>-234.77</v>
      </c>
      <c r="D19" s="21">
        <f>-C19/2</f>
        <v>117.38500000000001</v>
      </c>
      <c r="E19" s="5" t="s">
        <v>13</v>
      </c>
      <c r="F19" s="5" t="s">
        <v>9</v>
      </c>
    </row>
    <row r="20" spans="1:6" ht="20" x14ac:dyDescent="0.25">
      <c r="A20" s="4">
        <v>45848</v>
      </c>
      <c r="B20" s="5" t="s">
        <v>89</v>
      </c>
      <c r="C20" s="5">
        <v>-11.87</v>
      </c>
      <c r="D20" s="21">
        <f>-C20</f>
        <v>11.87</v>
      </c>
      <c r="E20" s="5" t="s">
        <v>6</v>
      </c>
      <c r="F20" s="5" t="s">
        <v>113</v>
      </c>
    </row>
    <row r="21" spans="1:6" ht="20" x14ac:dyDescent="0.25">
      <c r="A21" s="4">
        <v>45850</v>
      </c>
      <c r="B21" s="5" t="s">
        <v>183</v>
      </c>
      <c r="C21" s="5">
        <v>-4.53</v>
      </c>
      <c r="D21" s="21">
        <f>-C21</f>
        <v>4.53</v>
      </c>
      <c r="E21" s="5" t="s">
        <v>6</v>
      </c>
      <c r="F21" s="5" t="s">
        <v>170</v>
      </c>
    </row>
    <row r="22" spans="1:6" ht="20" x14ac:dyDescent="0.25">
      <c r="A22" s="4">
        <v>45851</v>
      </c>
      <c r="B22" s="5" t="s">
        <v>73</v>
      </c>
      <c r="C22" s="5">
        <v>-10</v>
      </c>
      <c r="D22" s="21">
        <f>-C22</f>
        <v>10</v>
      </c>
      <c r="E22" s="5" t="s">
        <v>98</v>
      </c>
      <c r="F22" s="5" t="s">
        <v>113</v>
      </c>
    </row>
    <row r="23" spans="1:6" ht="20" x14ac:dyDescent="0.25">
      <c r="A23" s="4">
        <v>45851</v>
      </c>
      <c r="B23" s="5" t="s">
        <v>182</v>
      </c>
      <c r="C23" s="5">
        <v>-6.21</v>
      </c>
      <c r="D23" s="21">
        <f>-C23+5</f>
        <v>11.21</v>
      </c>
      <c r="E23" s="5" t="s">
        <v>6</v>
      </c>
      <c r="F23" s="5" t="s">
        <v>170</v>
      </c>
    </row>
    <row r="24" spans="1:6" ht="20" x14ac:dyDescent="0.25">
      <c r="A24" s="4">
        <v>45852</v>
      </c>
      <c r="B24" s="5" t="s">
        <v>165</v>
      </c>
      <c r="C24" s="5">
        <v>-1.25</v>
      </c>
      <c r="D24" s="21">
        <f t="shared" ref="D24:D38" si="1">-C24</f>
        <v>1.25</v>
      </c>
      <c r="E24" s="5" t="s">
        <v>11</v>
      </c>
      <c r="F24" s="5" t="s">
        <v>113</v>
      </c>
    </row>
    <row r="25" spans="1:6" ht="20" x14ac:dyDescent="0.25">
      <c r="A25" s="4">
        <v>45852</v>
      </c>
      <c r="B25" s="5" t="s">
        <v>181</v>
      </c>
      <c r="C25" s="5">
        <v>-8.7100000000000009</v>
      </c>
      <c r="D25" s="21">
        <f t="shared" si="1"/>
        <v>8.7100000000000009</v>
      </c>
      <c r="E25" s="5" t="s">
        <v>6</v>
      </c>
      <c r="F25" s="5" t="s">
        <v>170</v>
      </c>
    </row>
    <row r="26" spans="1:6" ht="20" x14ac:dyDescent="0.25">
      <c r="A26" s="4">
        <v>45853</v>
      </c>
      <c r="B26" s="6" t="s">
        <v>164</v>
      </c>
      <c r="C26" s="5">
        <v>76.2</v>
      </c>
      <c r="D26" s="21">
        <f t="shared" si="1"/>
        <v>-76.2</v>
      </c>
      <c r="E26" s="5" t="s">
        <v>13</v>
      </c>
      <c r="F26" s="5" t="s">
        <v>21</v>
      </c>
    </row>
    <row r="27" spans="1:6" ht="20" x14ac:dyDescent="0.25">
      <c r="A27" s="4">
        <v>45853</v>
      </c>
      <c r="B27" s="6" t="s">
        <v>20</v>
      </c>
      <c r="C27" s="5">
        <v>-105.86</v>
      </c>
      <c r="D27" s="21">
        <f t="shared" si="1"/>
        <v>105.86</v>
      </c>
      <c r="E27" s="5" t="s">
        <v>13</v>
      </c>
      <c r="F27" s="5" t="s">
        <v>9</v>
      </c>
    </row>
    <row r="28" spans="1:6" ht="20" x14ac:dyDescent="0.25">
      <c r="A28" s="4">
        <v>45853</v>
      </c>
      <c r="B28" s="5" t="s">
        <v>48</v>
      </c>
      <c r="C28" s="5">
        <v>-11.17</v>
      </c>
      <c r="D28" s="21">
        <f t="shared" si="1"/>
        <v>11.17</v>
      </c>
      <c r="E28" s="5" t="s">
        <v>11</v>
      </c>
      <c r="F28" s="5" t="s">
        <v>47</v>
      </c>
    </row>
    <row r="29" spans="1:6" ht="20" x14ac:dyDescent="0.25">
      <c r="A29" s="4">
        <v>45853</v>
      </c>
      <c r="B29" s="5" t="s">
        <v>180</v>
      </c>
      <c r="C29" s="5">
        <v>-15.74</v>
      </c>
      <c r="D29" s="21">
        <f t="shared" si="1"/>
        <v>15.74</v>
      </c>
      <c r="E29" s="5" t="s">
        <v>6</v>
      </c>
      <c r="F29" s="5" t="s">
        <v>170</v>
      </c>
    </row>
    <row r="30" spans="1:6" ht="20" x14ac:dyDescent="0.25">
      <c r="A30" s="4">
        <v>45854</v>
      </c>
      <c r="B30" s="5" t="s">
        <v>163</v>
      </c>
      <c r="C30" s="5">
        <v>-7.8</v>
      </c>
      <c r="D30" s="21">
        <f t="shared" si="1"/>
        <v>7.8</v>
      </c>
      <c r="E30" s="5" t="s">
        <v>6</v>
      </c>
      <c r="F30" s="5" t="s">
        <v>113</v>
      </c>
    </row>
    <row r="31" spans="1:6" ht="20" x14ac:dyDescent="0.25">
      <c r="A31" s="4">
        <v>45854</v>
      </c>
      <c r="B31" s="5" t="s">
        <v>30</v>
      </c>
      <c r="C31" s="5">
        <v>-15.2</v>
      </c>
      <c r="D31" s="21">
        <f t="shared" si="1"/>
        <v>15.2</v>
      </c>
      <c r="E31" s="5" t="s">
        <v>11</v>
      </c>
      <c r="F31" s="5" t="s">
        <v>21</v>
      </c>
    </row>
    <row r="32" spans="1:6" ht="20" x14ac:dyDescent="0.25">
      <c r="A32" s="4">
        <v>45854</v>
      </c>
      <c r="B32" s="5" t="s">
        <v>157</v>
      </c>
      <c r="C32" s="5">
        <v>-5</v>
      </c>
      <c r="D32" s="21">
        <f t="shared" si="1"/>
        <v>5</v>
      </c>
      <c r="E32" s="5" t="s">
        <v>169</v>
      </c>
      <c r="F32" s="5" t="s">
        <v>47</v>
      </c>
    </row>
    <row r="33" spans="1:6" ht="20" x14ac:dyDescent="0.25">
      <c r="A33" s="4">
        <v>45854</v>
      </c>
      <c r="B33" s="5" t="s">
        <v>179</v>
      </c>
      <c r="C33" s="5">
        <v>-11.92</v>
      </c>
      <c r="D33" s="21">
        <f t="shared" si="1"/>
        <v>11.92</v>
      </c>
      <c r="E33" s="5" t="s">
        <v>6</v>
      </c>
      <c r="F33" s="5" t="s">
        <v>170</v>
      </c>
    </row>
    <row r="34" spans="1:6" ht="20" x14ac:dyDescent="0.25">
      <c r="A34" s="4">
        <v>45855</v>
      </c>
      <c r="B34" s="5" t="s">
        <v>178</v>
      </c>
      <c r="C34" s="5">
        <v>-11.85</v>
      </c>
      <c r="D34" s="21">
        <f t="shared" si="1"/>
        <v>11.85</v>
      </c>
      <c r="E34" s="5" t="s">
        <v>6</v>
      </c>
      <c r="F34" s="5" t="s">
        <v>170</v>
      </c>
    </row>
    <row r="35" spans="1:6" ht="20" x14ac:dyDescent="0.25">
      <c r="A35" s="4">
        <v>45855</v>
      </c>
      <c r="B35" s="5" t="s">
        <v>80</v>
      </c>
      <c r="C35" s="5">
        <v>-1.99</v>
      </c>
      <c r="D35" s="21">
        <f t="shared" si="1"/>
        <v>1.99</v>
      </c>
      <c r="E35" s="5" t="s">
        <v>16</v>
      </c>
      <c r="F35" s="5" t="s">
        <v>170</v>
      </c>
    </row>
    <row r="36" spans="1:6" ht="20" x14ac:dyDescent="0.25">
      <c r="A36" s="4">
        <v>45856</v>
      </c>
      <c r="B36" s="5" t="s">
        <v>15</v>
      </c>
      <c r="C36" s="5">
        <v>-2.99</v>
      </c>
      <c r="D36" s="21">
        <f t="shared" si="1"/>
        <v>2.99</v>
      </c>
      <c r="E36" s="5" t="s">
        <v>16</v>
      </c>
      <c r="F36" s="5" t="s">
        <v>9</v>
      </c>
    </row>
    <row r="37" spans="1:6" ht="20" x14ac:dyDescent="0.25">
      <c r="A37" s="4">
        <v>45856</v>
      </c>
      <c r="B37" s="5" t="s">
        <v>177</v>
      </c>
      <c r="C37" s="5">
        <v>-13.72</v>
      </c>
      <c r="D37" s="21">
        <f t="shared" si="1"/>
        <v>13.72</v>
      </c>
      <c r="E37" s="5" t="s">
        <v>6</v>
      </c>
      <c r="F37" s="5" t="s">
        <v>170</v>
      </c>
    </row>
    <row r="38" spans="1:6" ht="20" x14ac:dyDescent="0.25">
      <c r="A38" s="4">
        <v>45857</v>
      </c>
      <c r="B38" s="5" t="s">
        <v>162</v>
      </c>
      <c r="C38" s="5">
        <v>-1.64</v>
      </c>
      <c r="D38" s="21">
        <f t="shared" si="1"/>
        <v>1.64</v>
      </c>
      <c r="E38" s="5" t="s">
        <v>6</v>
      </c>
      <c r="F38" s="5" t="s">
        <v>47</v>
      </c>
    </row>
    <row r="39" spans="1:6" ht="20" x14ac:dyDescent="0.25">
      <c r="A39" s="4">
        <v>45857</v>
      </c>
      <c r="B39" s="5" t="s">
        <v>176</v>
      </c>
      <c r="C39" s="5">
        <v>-54.54</v>
      </c>
      <c r="D39" s="21">
        <f>-C39/5</f>
        <v>10.907999999999999</v>
      </c>
      <c r="E39" s="5" t="s">
        <v>6</v>
      </c>
      <c r="F39" s="5" t="s">
        <v>170</v>
      </c>
    </row>
    <row r="40" spans="1:6" ht="20" x14ac:dyDescent="0.25">
      <c r="A40" s="4">
        <v>45858</v>
      </c>
      <c r="B40" s="5" t="s">
        <v>119</v>
      </c>
      <c r="C40" s="5">
        <v>-11.39</v>
      </c>
      <c r="D40" s="21">
        <f t="shared" ref="D40:D49" si="2">-C40</f>
        <v>11.39</v>
      </c>
      <c r="E40" s="5" t="s">
        <v>6</v>
      </c>
      <c r="F40" s="5" t="s">
        <v>170</v>
      </c>
    </row>
    <row r="41" spans="1:6" ht="20" x14ac:dyDescent="0.25">
      <c r="A41" s="4">
        <v>45859</v>
      </c>
      <c r="B41" s="5" t="s">
        <v>161</v>
      </c>
      <c r="C41" s="5">
        <v>-3250</v>
      </c>
      <c r="D41" s="21">
        <f t="shared" si="2"/>
        <v>3250</v>
      </c>
      <c r="E41" s="5" t="s">
        <v>98</v>
      </c>
      <c r="F41" s="5" t="s">
        <v>113</v>
      </c>
    </row>
    <row r="42" spans="1:6" ht="20" x14ac:dyDescent="0.25">
      <c r="A42" s="4">
        <v>45859</v>
      </c>
      <c r="B42" s="5" t="s">
        <v>134</v>
      </c>
      <c r="C42" s="5">
        <v>-20</v>
      </c>
      <c r="D42" s="21">
        <f t="shared" si="2"/>
        <v>20</v>
      </c>
      <c r="E42" s="5" t="s">
        <v>16</v>
      </c>
      <c r="F42" s="5" t="s">
        <v>9</v>
      </c>
    </row>
    <row r="43" spans="1:6" ht="20" x14ac:dyDescent="0.25">
      <c r="A43" s="4">
        <v>45859</v>
      </c>
      <c r="B43" s="5" t="s">
        <v>175</v>
      </c>
      <c r="C43" s="5">
        <v>-1.99</v>
      </c>
      <c r="D43" s="21">
        <f t="shared" si="2"/>
        <v>1.99</v>
      </c>
      <c r="E43" s="5" t="s">
        <v>16</v>
      </c>
      <c r="F43" s="5" t="s">
        <v>170</v>
      </c>
    </row>
    <row r="44" spans="1:6" ht="20" x14ac:dyDescent="0.25">
      <c r="A44" s="4">
        <v>45860</v>
      </c>
      <c r="B44" s="5" t="s">
        <v>161</v>
      </c>
      <c r="C44" s="5">
        <v>-2.4900000000000002</v>
      </c>
      <c r="D44" s="21">
        <f t="shared" si="2"/>
        <v>2.4900000000000002</v>
      </c>
      <c r="E44" s="5" t="s">
        <v>98</v>
      </c>
      <c r="F44" s="5" t="s">
        <v>113</v>
      </c>
    </row>
    <row r="45" spans="1:6" ht="20" x14ac:dyDescent="0.25">
      <c r="A45" s="4">
        <v>45861</v>
      </c>
      <c r="B45" s="5" t="s">
        <v>161</v>
      </c>
      <c r="C45" s="5">
        <v>-78.13</v>
      </c>
      <c r="D45" s="21">
        <f t="shared" si="2"/>
        <v>78.13</v>
      </c>
      <c r="E45" s="5" t="s">
        <v>98</v>
      </c>
      <c r="F45" s="5" t="s">
        <v>113</v>
      </c>
    </row>
    <row r="46" spans="1:6" ht="20" x14ac:dyDescent="0.25">
      <c r="A46" s="4">
        <v>45862</v>
      </c>
      <c r="B46" s="5" t="s">
        <v>160</v>
      </c>
      <c r="C46" s="5">
        <v>-34.950000000000003</v>
      </c>
      <c r="D46" s="21">
        <f t="shared" si="2"/>
        <v>34.950000000000003</v>
      </c>
      <c r="E46" s="5" t="s">
        <v>13</v>
      </c>
      <c r="F46" s="5" t="s">
        <v>9</v>
      </c>
    </row>
    <row r="47" spans="1:6" ht="20" x14ac:dyDescent="0.25">
      <c r="A47" s="4">
        <v>45862</v>
      </c>
      <c r="B47" s="5" t="s">
        <v>173</v>
      </c>
      <c r="C47" s="5">
        <v>-11.26</v>
      </c>
      <c r="D47" s="21">
        <f t="shared" si="2"/>
        <v>11.26</v>
      </c>
      <c r="E47" s="5" t="s">
        <v>6</v>
      </c>
      <c r="F47" s="5" t="s">
        <v>170</v>
      </c>
    </row>
    <row r="48" spans="1:6" ht="20" x14ac:dyDescent="0.25">
      <c r="A48" s="4">
        <v>45862</v>
      </c>
      <c r="B48" s="5" t="s">
        <v>174</v>
      </c>
      <c r="C48" s="5">
        <v>-7.8</v>
      </c>
      <c r="D48" s="21">
        <f t="shared" si="2"/>
        <v>7.8</v>
      </c>
      <c r="E48" s="5" t="s">
        <v>6</v>
      </c>
      <c r="F48" s="5" t="s">
        <v>170</v>
      </c>
    </row>
    <row r="49" spans="1:6" ht="20" x14ac:dyDescent="0.25">
      <c r="A49" s="4">
        <v>45863</v>
      </c>
      <c r="B49" s="5" t="s">
        <v>60</v>
      </c>
      <c r="C49" s="5">
        <v>-13.62</v>
      </c>
      <c r="D49" s="21">
        <f t="shared" si="2"/>
        <v>13.62</v>
      </c>
      <c r="E49" s="5" t="s">
        <v>11</v>
      </c>
      <c r="F49" s="5" t="s">
        <v>47</v>
      </c>
    </row>
    <row r="50" spans="1:6" ht="20" x14ac:dyDescent="0.25">
      <c r="A50" s="4">
        <v>45863</v>
      </c>
      <c r="B50" s="5" t="s">
        <v>68</v>
      </c>
      <c r="C50" s="5">
        <v>-14.82</v>
      </c>
      <c r="D50" s="21">
        <f>-C50/2</f>
        <v>7.41</v>
      </c>
      <c r="E50" s="5" t="s">
        <v>6</v>
      </c>
      <c r="F50" s="5" t="s">
        <v>170</v>
      </c>
    </row>
    <row r="51" spans="1:6" ht="20" x14ac:dyDescent="0.25">
      <c r="A51" s="4">
        <v>45863</v>
      </c>
      <c r="B51" s="5" t="s">
        <v>75</v>
      </c>
      <c r="C51" s="5">
        <v>-2.64</v>
      </c>
      <c r="D51" s="21">
        <f>-C51</f>
        <v>2.64</v>
      </c>
      <c r="E51" s="5" t="s">
        <v>11</v>
      </c>
      <c r="F51" s="5" t="s">
        <v>170</v>
      </c>
    </row>
    <row r="52" spans="1:6" ht="20" x14ac:dyDescent="0.25">
      <c r="A52" s="4">
        <v>45864</v>
      </c>
      <c r="B52" s="5" t="s">
        <v>158</v>
      </c>
      <c r="C52" s="5">
        <v>-4.7699999999999996</v>
      </c>
      <c r="D52" s="21">
        <f>-C52</f>
        <v>4.7699999999999996</v>
      </c>
      <c r="E52" s="5" t="s">
        <v>6</v>
      </c>
      <c r="F52" s="5" t="s">
        <v>47</v>
      </c>
    </row>
    <row r="53" spans="1:6" ht="20" x14ac:dyDescent="0.25">
      <c r="A53" s="4">
        <v>45864</v>
      </c>
      <c r="B53" s="5" t="s">
        <v>159</v>
      </c>
      <c r="C53" s="5">
        <v>-4.8600000000000003</v>
      </c>
      <c r="D53" s="21">
        <f>-C53</f>
        <v>4.8600000000000003</v>
      </c>
      <c r="E53" s="5" t="s">
        <v>11</v>
      </c>
      <c r="F53" s="5" t="s">
        <v>47</v>
      </c>
    </row>
    <row r="54" spans="1:6" ht="20" x14ac:dyDescent="0.25">
      <c r="A54" s="4">
        <v>45864</v>
      </c>
      <c r="B54" s="5" t="s">
        <v>72</v>
      </c>
      <c r="C54" s="5">
        <v>-30</v>
      </c>
      <c r="D54" s="21">
        <f>-C54</f>
        <v>30</v>
      </c>
      <c r="E54" s="5" t="s">
        <v>98</v>
      </c>
      <c r="F54" s="5" t="s">
        <v>47</v>
      </c>
    </row>
    <row r="55" spans="1:6" ht="20" x14ac:dyDescent="0.25">
      <c r="A55" s="4">
        <v>45865</v>
      </c>
      <c r="B55" s="5" t="s">
        <v>68</v>
      </c>
      <c r="C55" s="5">
        <v>-22.23</v>
      </c>
      <c r="D55" s="21">
        <f>-C55/2</f>
        <v>11.115</v>
      </c>
      <c r="E55" s="5" t="s">
        <v>6</v>
      </c>
      <c r="F55" s="5" t="s">
        <v>170</v>
      </c>
    </row>
    <row r="56" spans="1:6" ht="20" x14ac:dyDescent="0.25">
      <c r="A56" s="4">
        <v>45866</v>
      </c>
      <c r="B56" s="5" t="s">
        <v>15</v>
      </c>
      <c r="C56" s="5">
        <v>-3.99</v>
      </c>
      <c r="D56" s="21">
        <f>-C56</f>
        <v>3.99</v>
      </c>
      <c r="E56" s="5" t="s">
        <v>16</v>
      </c>
      <c r="F56" s="5" t="s">
        <v>9</v>
      </c>
    </row>
    <row r="57" spans="1:6" ht="20" x14ac:dyDescent="0.25">
      <c r="A57" s="4">
        <v>45866</v>
      </c>
      <c r="B57" s="5" t="s">
        <v>30</v>
      </c>
      <c r="C57" s="5">
        <v>-6.64</v>
      </c>
      <c r="D57" s="21">
        <f>-C57</f>
        <v>6.64</v>
      </c>
      <c r="E57" s="5" t="s">
        <v>11</v>
      </c>
      <c r="F57" s="5" t="s">
        <v>21</v>
      </c>
    </row>
    <row r="58" spans="1:6" ht="20" x14ac:dyDescent="0.25">
      <c r="A58" s="4">
        <v>45866</v>
      </c>
      <c r="B58" s="5" t="s">
        <v>172</v>
      </c>
      <c r="C58" s="5">
        <v>-15</v>
      </c>
      <c r="D58" s="21">
        <f>-C58</f>
        <v>15</v>
      </c>
      <c r="E58" s="5" t="s">
        <v>6</v>
      </c>
      <c r="F58" s="5" t="s">
        <v>170</v>
      </c>
    </row>
    <row r="59" spans="1:6" ht="20" x14ac:dyDescent="0.25">
      <c r="A59" s="4">
        <v>45867</v>
      </c>
      <c r="B59" s="5" t="s">
        <v>31</v>
      </c>
      <c r="C59" s="5">
        <v>-16.04</v>
      </c>
      <c r="D59" s="21">
        <f>-C59</f>
        <v>16.04</v>
      </c>
      <c r="E59" s="5" t="s">
        <v>16</v>
      </c>
      <c r="F59" s="5" t="s">
        <v>9</v>
      </c>
    </row>
    <row r="60" spans="1:6" ht="20" x14ac:dyDescent="0.25">
      <c r="A60" s="4">
        <v>45867</v>
      </c>
      <c r="B60" s="5" t="s">
        <v>157</v>
      </c>
      <c r="C60" s="5">
        <v>-5</v>
      </c>
      <c r="D60" s="21">
        <f>-C60</f>
        <v>5</v>
      </c>
      <c r="E60" s="5" t="s">
        <v>169</v>
      </c>
      <c r="F60" s="5" t="s">
        <v>47</v>
      </c>
    </row>
    <row r="61" spans="1:6" ht="20" x14ac:dyDescent="0.25">
      <c r="A61" s="4">
        <v>45867</v>
      </c>
      <c r="B61" s="5" t="s">
        <v>91</v>
      </c>
      <c r="C61" s="5">
        <v>-50.74</v>
      </c>
      <c r="D61" s="21">
        <f>-C61/3</f>
        <v>16.913333333333334</v>
      </c>
      <c r="E61" s="5" t="s">
        <v>6</v>
      </c>
      <c r="F61" s="5" t="s">
        <v>170</v>
      </c>
    </row>
    <row r="62" spans="1:6" ht="20" x14ac:dyDescent="0.25">
      <c r="A62" s="4">
        <v>45867</v>
      </c>
      <c r="B62" s="5" t="s">
        <v>171</v>
      </c>
      <c r="C62" s="5">
        <v>-11.7</v>
      </c>
      <c r="D62" s="21">
        <f>-C62</f>
        <v>11.7</v>
      </c>
      <c r="E62" s="5" t="s">
        <v>6</v>
      </c>
      <c r="F62" s="5" t="s">
        <v>170</v>
      </c>
    </row>
    <row r="63" spans="1:6" ht="20" x14ac:dyDescent="0.25">
      <c r="A63" s="4">
        <v>45868</v>
      </c>
      <c r="B63" s="5" t="s">
        <v>156</v>
      </c>
      <c r="C63" s="5">
        <v>-35.700000000000003</v>
      </c>
      <c r="D63" s="21">
        <f>-C63</f>
        <v>35.700000000000003</v>
      </c>
      <c r="E63" s="5" t="s">
        <v>8</v>
      </c>
      <c r="F63" s="5" t="s">
        <v>47</v>
      </c>
    </row>
    <row r="64" spans="1:6" ht="20" x14ac:dyDescent="0.25">
      <c r="A64" s="4">
        <v>45868</v>
      </c>
      <c r="B64" s="5" t="s">
        <v>48</v>
      </c>
      <c r="C64" s="5">
        <v>-78.23</v>
      </c>
      <c r="D64" s="21">
        <f>-C64</f>
        <v>78.23</v>
      </c>
      <c r="E64" s="5" t="s">
        <v>11</v>
      </c>
      <c r="F64" s="5" t="s">
        <v>47</v>
      </c>
    </row>
    <row r="65" spans="1:6" ht="20" x14ac:dyDescent="0.25">
      <c r="A65" s="4">
        <v>45869</v>
      </c>
      <c r="B65" s="5" t="s">
        <v>73</v>
      </c>
      <c r="C65" s="5">
        <v>-10</v>
      </c>
      <c r="D65" s="21">
        <f>-C65</f>
        <v>10</v>
      </c>
      <c r="E65" s="5" t="s">
        <v>98</v>
      </c>
      <c r="F65" s="5" t="s">
        <v>113</v>
      </c>
    </row>
    <row r="66" spans="1:6" x14ac:dyDescent="0.2">
      <c r="A66" s="56"/>
      <c r="B66" s="57"/>
      <c r="C66" s="57"/>
      <c r="D66" s="57"/>
      <c r="E66" s="57"/>
      <c r="F66" s="57"/>
    </row>
  </sheetData>
  <pageMargins left="0.7" right="0.7" top="0.75" bottom="0.75" header="0.3" footer="0.3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E899-59B1-FC4F-B99E-9CE3E9CEBDF9}">
  <dimension ref="A1:I64"/>
  <sheetViews>
    <sheetView topLeftCell="A33" zoomScale="99" workbookViewId="0">
      <selection sqref="A1:F1"/>
    </sheetView>
  </sheetViews>
  <sheetFormatPr baseColWidth="10" defaultRowHeight="16" x14ac:dyDescent="0.2"/>
  <cols>
    <col min="2" max="2" width="39" bestFit="1" customWidth="1"/>
    <col min="3" max="3" width="9.5" hidden="1" customWidth="1"/>
    <col min="4" max="4" width="14.33203125" bestFit="1" customWidth="1"/>
    <col min="5" max="5" width="22.6640625" bestFit="1" customWidth="1"/>
    <col min="6" max="6" width="45.5" bestFit="1" customWidth="1"/>
    <col min="8" max="8" width="17" bestFit="1" customWidth="1"/>
    <col min="9" max="9" width="13.6640625" bestFit="1" customWidth="1"/>
  </cols>
  <sheetData>
    <row r="1" spans="1:9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9" ht="20" x14ac:dyDescent="0.25">
      <c r="A2" s="4">
        <v>45901</v>
      </c>
      <c r="B2" s="5" t="s">
        <v>179</v>
      </c>
      <c r="C2" s="5">
        <v>-11.92</v>
      </c>
      <c r="D2" s="21">
        <f t="shared" ref="D2:D36" si="0">-C2</f>
        <v>11.92</v>
      </c>
      <c r="E2" s="5" t="s">
        <v>6</v>
      </c>
      <c r="F2" s="5" t="s">
        <v>170</v>
      </c>
      <c r="H2" s="58" t="s">
        <v>4</v>
      </c>
      <c r="I2" s="59" t="s">
        <v>44</v>
      </c>
    </row>
    <row r="3" spans="1:9" ht="20" x14ac:dyDescent="0.25">
      <c r="A3" s="4">
        <v>45901</v>
      </c>
      <c r="B3" s="5" t="s">
        <v>204</v>
      </c>
      <c r="C3" s="5">
        <v>-6.73</v>
      </c>
      <c r="D3" s="21">
        <f t="shared" si="0"/>
        <v>6.73</v>
      </c>
      <c r="E3" s="5" t="s">
        <v>6</v>
      </c>
      <c r="F3" s="5" t="s">
        <v>170</v>
      </c>
      <c r="H3" s="29" t="s">
        <v>6</v>
      </c>
      <c r="I3" s="33">
        <v>201.45</v>
      </c>
    </row>
    <row r="4" spans="1:9" ht="20" x14ac:dyDescent="0.25">
      <c r="A4" s="4">
        <v>45901</v>
      </c>
      <c r="B4" s="5" t="s">
        <v>36</v>
      </c>
      <c r="C4" s="5">
        <v>-0.54</v>
      </c>
      <c r="D4" s="21">
        <f t="shared" si="0"/>
        <v>0.54</v>
      </c>
      <c r="E4" s="5" t="s">
        <v>6</v>
      </c>
      <c r="F4" s="5" t="s">
        <v>113</v>
      </c>
      <c r="H4" s="29" t="s">
        <v>11</v>
      </c>
      <c r="I4" s="33">
        <v>265.05999999999995</v>
      </c>
    </row>
    <row r="5" spans="1:9" ht="20" x14ac:dyDescent="0.25">
      <c r="A5" s="4">
        <v>45901</v>
      </c>
      <c r="B5" s="5" t="s">
        <v>189</v>
      </c>
      <c r="C5" s="5">
        <v>-3.06</v>
      </c>
      <c r="D5" s="21">
        <f t="shared" si="0"/>
        <v>3.06</v>
      </c>
      <c r="E5" s="5" t="s">
        <v>6</v>
      </c>
      <c r="F5" s="5" t="s">
        <v>47</v>
      </c>
      <c r="H5" s="29" t="s">
        <v>186</v>
      </c>
      <c r="I5" s="33">
        <v>30</v>
      </c>
    </row>
    <row r="6" spans="1:9" ht="20" x14ac:dyDescent="0.25">
      <c r="A6" s="4">
        <v>45901</v>
      </c>
      <c r="B6" s="5" t="s">
        <v>6</v>
      </c>
      <c r="C6" s="5">
        <v>-5.89</v>
      </c>
      <c r="D6" s="21">
        <f t="shared" si="0"/>
        <v>5.89</v>
      </c>
      <c r="E6" s="5" t="s">
        <v>11</v>
      </c>
      <c r="F6" s="5" t="s">
        <v>47</v>
      </c>
      <c r="H6" s="29" t="s">
        <v>8</v>
      </c>
      <c r="I6" s="33">
        <v>80.834999999999994</v>
      </c>
    </row>
    <row r="7" spans="1:9" ht="20" x14ac:dyDescent="0.25">
      <c r="A7" s="4">
        <v>45901</v>
      </c>
      <c r="B7" s="5" t="s">
        <v>68</v>
      </c>
      <c r="C7" s="5">
        <v>-13.33</v>
      </c>
      <c r="D7" s="21">
        <f t="shared" si="0"/>
        <v>13.33</v>
      </c>
      <c r="E7" s="5" t="s">
        <v>6</v>
      </c>
      <c r="F7" s="5" t="s">
        <v>47</v>
      </c>
      <c r="H7" s="29" t="s">
        <v>98</v>
      </c>
      <c r="I7" s="33">
        <v>3387.3199999999997</v>
      </c>
    </row>
    <row r="8" spans="1:9" ht="20" x14ac:dyDescent="0.25">
      <c r="A8" s="4">
        <v>45902</v>
      </c>
      <c r="B8" s="5" t="s">
        <v>6</v>
      </c>
      <c r="C8" s="5">
        <v>-6.04</v>
      </c>
      <c r="D8" s="21">
        <f t="shared" si="0"/>
        <v>6.04</v>
      </c>
      <c r="E8" s="5" t="s">
        <v>11</v>
      </c>
      <c r="F8" s="5" t="s">
        <v>113</v>
      </c>
      <c r="H8" s="29" t="s">
        <v>14</v>
      </c>
      <c r="I8" s="33">
        <v>46.9</v>
      </c>
    </row>
    <row r="9" spans="1:9" ht="20" x14ac:dyDescent="0.25">
      <c r="A9" s="4">
        <v>45902</v>
      </c>
      <c r="B9" s="5" t="s">
        <v>208</v>
      </c>
      <c r="C9" s="5">
        <v>-10</v>
      </c>
      <c r="D9" s="21">
        <f t="shared" si="0"/>
        <v>10</v>
      </c>
      <c r="E9" s="5" t="s">
        <v>98</v>
      </c>
      <c r="F9" s="5" t="s">
        <v>113</v>
      </c>
      <c r="H9" s="29" t="s">
        <v>209</v>
      </c>
      <c r="I9" s="33">
        <v>474.12</v>
      </c>
    </row>
    <row r="10" spans="1:9" ht="20" x14ac:dyDescent="0.25">
      <c r="A10" s="4">
        <v>45902</v>
      </c>
      <c r="B10" s="5" t="s">
        <v>41</v>
      </c>
      <c r="C10" s="5">
        <v>-1.99</v>
      </c>
      <c r="D10" s="21">
        <f t="shared" si="0"/>
        <v>1.99</v>
      </c>
      <c r="E10" s="5" t="s">
        <v>8</v>
      </c>
      <c r="F10" s="5" t="s">
        <v>47</v>
      </c>
      <c r="H10" s="29" t="s">
        <v>13</v>
      </c>
      <c r="I10" s="33">
        <v>189.11</v>
      </c>
    </row>
    <row r="11" spans="1:9" ht="20" x14ac:dyDescent="0.25">
      <c r="A11" s="4">
        <v>45902</v>
      </c>
      <c r="B11" s="5" t="s">
        <v>203</v>
      </c>
      <c r="C11" s="5">
        <v>-11.7</v>
      </c>
      <c r="D11" s="21">
        <f t="shared" si="0"/>
        <v>11.7</v>
      </c>
      <c r="E11" s="5" t="s">
        <v>6</v>
      </c>
      <c r="F11" s="5" t="s">
        <v>47</v>
      </c>
      <c r="H11" s="29" t="s">
        <v>39</v>
      </c>
      <c r="I11" s="33">
        <v>4674.7949999999992</v>
      </c>
    </row>
    <row r="12" spans="1:9" ht="20" x14ac:dyDescent="0.25">
      <c r="A12" s="4">
        <v>45903</v>
      </c>
      <c r="B12" s="5" t="s">
        <v>25</v>
      </c>
      <c r="C12" s="5">
        <v>-68.56</v>
      </c>
      <c r="D12" s="21">
        <f t="shared" si="0"/>
        <v>68.56</v>
      </c>
      <c r="E12" s="5" t="s">
        <v>209</v>
      </c>
      <c r="F12" s="5" t="s">
        <v>47</v>
      </c>
    </row>
    <row r="13" spans="1:9" ht="20" x14ac:dyDescent="0.25">
      <c r="A13" s="4">
        <v>45904</v>
      </c>
      <c r="B13" s="5" t="s">
        <v>201</v>
      </c>
      <c r="C13" s="5">
        <v>-171.49</v>
      </c>
      <c r="D13" s="21">
        <f t="shared" si="0"/>
        <v>171.49</v>
      </c>
      <c r="E13" s="5" t="s">
        <v>209</v>
      </c>
      <c r="F13" s="5" t="s">
        <v>47</v>
      </c>
    </row>
    <row r="14" spans="1:9" ht="20" x14ac:dyDescent="0.25">
      <c r="A14" s="4">
        <v>45904</v>
      </c>
      <c r="B14" s="5" t="s">
        <v>202</v>
      </c>
      <c r="C14" s="5">
        <v>-19.05</v>
      </c>
      <c r="D14" s="21">
        <f t="shared" si="0"/>
        <v>19.05</v>
      </c>
      <c r="E14" s="5" t="s">
        <v>8</v>
      </c>
      <c r="F14" s="5" t="s">
        <v>47</v>
      </c>
    </row>
    <row r="15" spans="1:9" ht="20" x14ac:dyDescent="0.25">
      <c r="A15" s="4">
        <v>45904</v>
      </c>
      <c r="B15" s="5" t="s">
        <v>201</v>
      </c>
      <c r="C15" s="5">
        <v>-13.76</v>
      </c>
      <c r="D15" s="21">
        <f t="shared" si="0"/>
        <v>13.76</v>
      </c>
      <c r="E15" s="5" t="s">
        <v>209</v>
      </c>
      <c r="F15" s="5" t="s">
        <v>47</v>
      </c>
    </row>
    <row r="16" spans="1:9" ht="20" x14ac:dyDescent="0.25">
      <c r="A16" s="4">
        <v>45905</v>
      </c>
      <c r="B16" s="5" t="s">
        <v>6</v>
      </c>
      <c r="C16" s="5">
        <v>-5.08</v>
      </c>
      <c r="D16" s="21">
        <f t="shared" si="0"/>
        <v>5.08</v>
      </c>
      <c r="E16" s="5" t="s">
        <v>11</v>
      </c>
      <c r="F16" s="5" t="s">
        <v>47</v>
      </c>
    </row>
    <row r="17" spans="1:6" ht="20" x14ac:dyDescent="0.25">
      <c r="A17" s="4">
        <v>45905</v>
      </c>
      <c r="B17" s="5" t="s">
        <v>168</v>
      </c>
      <c r="C17" s="5">
        <v>-6.38</v>
      </c>
      <c r="D17" s="21">
        <f t="shared" si="0"/>
        <v>6.38</v>
      </c>
      <c r="E17" s="5" t="s">
        <v>11</v>
      </c>
      <c r="F17" s="5" t="s">
        <v>47</v>
      </c>
    </row>
    <row r="18" spans="1:6" ht="20" x14ac:dyDescent="0.25">
      <c r="A18" s="4">
        <v>45905</v>
      </c>
      <c r="B18" s="5" t="s">
        <v>168</v>
      </c>
      <c r="C18" s="5">
        <v>-16.100000000000001</v>
      </c>
      <c r="D18" s="21">
        <f t="shared" si="0"/>
        <v>16.100000000000001</v>
      </c>
      <c r="E18" s="5" t="s">
        <v>11</v>
      </c>
      <c r="F18" s="5" t="s">
        <v>47</v>
      </c>
    </row>
    <row r="19" spans="1:6" ht="20" x14ac:dyDescent="0.25">
      <c r="A19" s="4">
        <v>45905</v>
      </c>
      <c r="B19" s="5" t="s">
        <v>6</v>
      </c>
      <c r="C19" s="5">
        <v>-7.52</v>
      </c>
      <c r="D19" s="21">
        <f t="shared" si="0"/>
        <v>7.52</v>
      </c>
      <c r="E19" s="5" t="s">
        <v>11</v>
      </c>
      <c r="F19" s="5" t="s">
        <v>47</v>
      </c>
    </row>
    <row r="20" spans="1:6" ht="20" x14ac:dyDescent="0.25">
      <c r="A20" s="4">
        <v>45906</v>
      </c>
      <c r="B20" s="5" t="s">
        <v>25</v>
      </c>
      <c r="C20" s="5">
        <v>-12.27</v>
      </c>
      <c r="D20" s="21">
        <f t="shared" si="0"/>
        <v>12.27</v>
      </c>
      <c r="E20" s="5" t="s">
        <v>209</v>
      </c>
      <c r="F20" s="5" t="s">
        <v>47</v>
      </c>
    </row>
    <row r="21" spans="1:6" ht="20" x14ac:dyDescent="0.25">
      <c r="A21" s="4">
        <v>45906</v>
      </c>
      <c r="B21" s="5" t="s">
        <v>25</v>
      </c>
      <c r="C21" s="5">
        <v>-13.75</v>
      </c>
      <c r="D21" s="21">
        <f t="shared" si="0"/>
        <v>13.75</v>
      </c>
      <c r="E21" s="5" t="s">
        <v>209</v>
      </c>
      <c r="F21" s="5" t="s">
        <v>47</v>
      </c>
    </row>
    <row r="22" spans="1:6" ht="20" x14ac:dyDescent="0.25">
      <c r="A22" s="4">
        <v>45906</v>
      </c>
      <c r="B22" s="5" t="s">
        <v>25</v>
      </c>
      <c r="C22" s="5">
        <v>-50.82</v>
      </c>
      <c r="D22" s="21">
        <f t="shared" si="0"/>
        <v>50.82</v>
      </c>
      <c r="E22" s="5" t="s">
        <v>209</v>
      </c>
      <c r="F22" s="5" t="s">
        <v>47</v>
      </c>
    </row>
    <row r="23" spans="1:6" ht="20" x14ac:dyDescent="0.25">
      <c r="A23" s="4">
        <v>45907</v>
      </c>
      <c r="B23" s="5" t="s">
        <v>200</v>
      </c>
      <c r="C23" s="5">
        <v>-1.91</v>
      </c>
      <c r="D23" s="21">
        <f t="shared" si="0"/>
        <v>1.91</v>
      </c>
      <c r="E23" s="5" t="s">
        <v>14</v>
      </c>
      <c r="F23" s="5" t="s">
        <v>170</v>
      </c>
    </row>
    <row r="24" spans="1:6" ht="20" x14ac:dyDescent="0.25">
      <c r="A24" s="4">
        <v>45907</v>
      </c>
      <c r="B24" s="5" t="s">
        <v>15</v>
      </c>
      <c r="C24" s="5">
        <v>-9.99</v>
      </c>
      <c r="D24" s="21">
        <f t="shared" si="0"/>
        <v>9.99</v>
      </c>
      <c r="E24" s="5" t="s">
        <v>8</v>
      </c>
      <c r="F24" s="5" t="s">
        <v>9</v>
      </c>
    </row>
    <row r="25" spans="1:6" ht="20" x14ac:dyDescent="0.25">
      <c r="A25" s="4">
        <v>45908</v>
      </c>
      <c r="B25" s="5" t="s">
        <v>198</v>
      </c>
      <c r="C25" s="5">
        <v>-5.71</v>
      </c>
      <c r="D25" s="21">
        <f t="shared" si="0"/>
        <v>5.71</v>
      </c>
      <c r="E25" s="5" t="s">
        <v>6</v>
      </c>
      <c r="F25" s="5" t="s">
        <v>113</v>
      </c>
    </row>
    <row r="26" spans="1:6" ht="20" x14ac:dyDescent="0.25">
      <c r="A26" s="4">
        <v>45908</v>
      </c>
      <c r="B26" s="5" t="s">
        <v>199</v>
      </c>
      <c r="C26" s="5">
        <v>-4.9400000000000004</v>
      </c>
      <c r="D26" s="21">
        <f t="shared" si="0"/>
        <v>4.9400000000000004</v>
      </c>
      <c r="E26" s="5" t="s">
        <v>6</v>
      </c>
      <c r="F26" s="5" t="s">
        <v>113</v>
      </c>
    </row>
    <row r="27" spans="1:6" ht="20" x14ac:dyDescent="0.25">
      <c r="A27" s="4">
        <v>45909</v>
      </c>
      <c r="B27" s="5" t="s">
        <v>196</v>
      </c>
      <c r="C27" s="5">
        <v>-11.32</v>
      </c>
      <c r="D27" s="21">
        <f t="shared" si="0"/>
        <v>11.32</v>
      </c>
      <c r="E27" s="5" t="s">
        <v>6</v>
      </c>
      <c r="F27" s="5" t="s">
        <v>113</v>
      </c>
    </row>
    <row r="28" spans="1:6" ht="20" x14ac:dyDescent="0.25">
      <c r="A28" s="4">
        <v>45909</v>
      </c>
      <c r="B28" s="5" t="s">
        <v>197</v>
      </c>
      <c r="C28" s="5">
        <v>-9.91</v>
      </c>
      <c r="D28" s="21">
        <f t="shared" si="0"/>
        <v>9.91</v>
      </c>
      <c r="E28" s="5" t="s">
        <v>6</v>
      </c>
      <c r="F28" s="5" t="s">
        <v>113</v>
      </c>
    </row>
    <row r="29" spans="1:6" ht="20" x14ac:dyDescent="0.25">
      <c r="A29" s="4">
        <v>45909</v>
      </c>
      <c r="B29" s="5" t="s">
        <v>48</v>
      </c>
      <c r="C29" s="5">
        <v>-4.99</v>
      </c>
      <c r="D29" s="21">
        <f t="shared" si="0"/>
        <v>4.99</v>
      </c>
      <c r="E29" s="5" t="s">
        <v>11</v>
      </c>
      <c r="F29" s="5" t="s">
        <v>47</v>
      </c>
    </row>
    <row r="30" spans="1:6" ht="20" x14ac:dyDescent="0.25">
      <c r="A30" s="4">
        <v>45910</v>
      </c>
      <c r="B30" s="5" t="s">
        <v>194</v>
      </c>
      <c r="C30" s="5">
        <v>-13.6</v>
      </c>
      <c r="D30" s="21">
        <f t="shared" si="0"/>
        <v>13.6</v>
      </c>
      <c r="E30" s="5" t="s">
        <v>6</v>
      </c>
      <c r="F30" s="5" t="s">
        <v>170</v>
      </c>
    </row>
    <row r="31" spans="1:6" ht="20" x14ac:dyDescent="0.25">
      <c r="A31" s="4">
        <v>45910</v>
      </c>
      <c r="B31" s="5" t="s">
        <v>195</v>
      </c>
      <c r="C31" s="5">
        <v>-9.8000000000000007</v>
      </c>
      <c r="D31" s="21">
        <f t="shared" si="0"/>
        <v>9.8000000000000007</v>
      </c>
      <c r="E31" s="5" t="s">
        <v>6</v>
      </c>
      <c r="F31" s="5" t="s">
        <v>113</v>
      </c>
    </row>
    <row r="32" spans="1:6" ht="20" x14ac:dyDescent="0.25">
      <c r="A32" s="4">
        <v>45910</v>
      </c>
      <c r="B32" s="5" t="s">
        <v>156</v>
      </c>
      <c r="C32" s="5">
        <v>-33.700000000000003</v>
      </c>
      <c r="D32" s="21">
        <f t="shared" si="0"/>
        <v>33.700000000000003</v>
      </c>
      <c r="E32" s="5" t="s">
        <v>8</v>
      </c>
      <c r="F32" s="5" t="s">
        <v>47</v>
      </c>
    </row>
    <row r="33" spans="1:6" ht="20" x14ac:dyDescent="0.25">
      <c r="A33" s="4">
        <v>45910</v>
      </c>
      <c r="B33" s="5" t="s">
        <v>30</v>
      </c>
      <c r="C33" s="5">
        <v>-4.1399999999999997</v>
      </c>
      <c r="D33" s="21">
        <f t="shared" si="0"/>
        <v>4.1399999999999997</v>
      </c>
      <c r="E33" s="5" t="s">
        <v>11</v>
      </c>
      <c r="F33" s="5" t="s">
        <v>21</v>
      </c>
    </row>
    <row r="34" spans="1:6" ht="20" x14ac:dyDescent="0.25">
      <c r="A34" s="4">
        <v>45910</v>
      </c>
      <c r="B34" s="5" t="s">
        <v>30</v>
      </c>
      <c r="C34" s="5">
        <v>-53.34</v>
      </c>
      <c r="D34" s="21">
        <f t="shared" si="0"/>
        <v>53.34</v>
      </c>
      <c r="E34" s="5" t="s">
        <v>11</v>
      </c>
      <c r="F34" s="5" t="s">
        <v>21</v>
      </c>
    </row>
    <row r="35" spans="1:6" ht="20" x14ac:dyDescent="0.25">
      <c r="A35" s="4">
        <v>45911</v>
      </c>
      <c r="B35" s="5" t="s">
        <v>68</v>
      </c>
      <c r="C35" s="5">
        <v>-14.82</v>
      </c>
      <c r="D35" s="21">
        <f t="shared" si="0"/>
        <v>14.82</v>
      </c>
      <c r="E35" s="5" t="s">
        <v>6</v>
      </c>
      <c r="F35" s="5" t="s">
        <v>170</v>
      </c>
    </row>
    <row r="36" spans="1:6" ht="20" x14ac:dyDescent="0.25">
      <c r="A36" s="4">
        <v>45911</v>
      </c>
      <c r="B36" s="5" t="s">
        <v>189</v>
      </c>
      <c r="C36" s="5">
        <v>-5.07</v>
      </c>
      <c r="D36" s="21">
        <f t="shared" si="0"/>
        <v>5.07</v>
      </c>
      <c r="E36" s="5" t="s">
        <v>6</v>
      </c>
      <c r="F36" s="5" t="s">
        <v>170</v>
      </c>
    </row>
    <row r="37" spans="1:6" ht="20" x14ac:dyDescent="0.25">
      <c r="A37" s="4">
        <v>45912</v>
      </c>
      <c r="B37" s="5" t="s">
        <v>68</v>
      </c>
      <c r="C37" s="5">
        <v>-6.34</v>
      </c>
      <c r="D37" s="21">
        <f>-C37+6.96</f>
        <v>13.3</v>
      </c>
      <c r="E37" s="5" t="s">
        <v>6</v>
      </c>
      <c r="F37" s="5" t="s">
        <v>170</v>
      </c>
    </row>
    <row r="38" spans="1:6" ht="20" x14ac:dyDescent="0.25">
      <c r="A38" s="4">
        <v>45912</v>
      </c>
      <c r="B38" s="5" t="s">
        <v>25</v>
      </c>
      <c r="C38" s="5">
        <v>-8.4700000000000006</v>
      </c>
      <c r="D38" s="21">
        <f>-C38</f>
        <v>8.4700000000000006</v>
      </c>
      <c r="E38" s="5" t="s">
        <v>209</v>
      </c>
      <c r="F38" s="5" t="s">
        <v>47</v>
      </c>
    </row>
    <row r="39" spans="1:6" ht="20" x14ac:dyDescent="0.25">
      <c r="A39" s="4">
        <v>45915</v>
      </c>
      <c r="B39" s="5" t="s">
        <v>23</v>
      </c>
      <c r="C39" s="5">
        <v>17.43</v>
      </c>
      <c r="D39" s="21">
        <f>-C39</f>
        <v>-17.43</v>
      </c>
      <c r="E39" s="5" t="s">
        <v>11</v>
      </c>
      <c r="F39" s="5" t="s">
        <v>9</v>
      </c>
    </row>
    <row r="40" spans="1:6" ht="20" x14ac:dyDescent="0.25">
      <c r="A40" s="4">
        <v>45916</v>
      </c>
      <c r="B40" s="5" t="s">
        <v>208</v>
      </c>
      <c r="C40" s="5">
        <v>-10</v>
      </c>
      <c r="D40" s="21">
        <f>-C40</f>
        <v>10</v>
      </c>
      <c r="E40" s="5" t="s">
        <v>98</v>
      </c>
      <c r="F40" s="5" t="s">
        <v>113</v>
      </c>
    </row>
    <row r="41" spans="1:6" ht="20" x14ac:dyDescent="0.25">
      <c r="A41" s="4">
        <v>45916</v>
      </c>
      <c r="B41" s="5" t="s">
        <v>20</v>
      </c>
      <c r="C41" s="5">
        <v>-107.05</v>
      </c>
      <c r="D41" s="21">
        <f>-C41</f>
        <v>107.05</v>
      </c>
      <c r="E41" s="5" t="s">
        <v>209</v>
      </c>
      <c r="F41" s="5" t="s">
        <v>9</v>
      </c>
    </row>
    <row r="42" spans="1:6" ht="20" x14ac:dyDescent="0.25">
      <c r="A42" s="4">
        <v>45916</v>
      </c>
      <c r="B42" s="5" t="s">
        <v>193</v>
      </c>
      <c r="C42" s="5">
        <v>-153.38999999999999</v>
      </c>
      <c r="D42" s="21">
        <f>-C42-63.48</f>
        <v>89.91</v>
      </c>
      <c r="E42" s="5" t="s">
        <v>13</v>
      </c>
      <c r="F42" s="5" t="s">
        <v>47</v>
      </c>
    </row>
    <row r="43" spans="1:6" ht="20" x14ac:dyDescent="0.25">
      <c r="A43" s="4">
        <v>45916</v>
      </c>
      <c r="B43" s="5" t="s">
        <v>140</v>
      </c>
      <c r="C43" s="5">
        <v>-99.2</v>
      </c>
      <c r="D43" s="21">
        <f t="shared" ref="D43:D60" si="1">-C43</f>
        <v>99.2</v>
      </c>
      <c r="E43" s="5" t="s">
        <v>13</v>
      </c>
      <c r="F43" s="5" t="s">
        <v>47</v>
      </c>
    </row>
    <row r="44" spans="1:6" ht="20" x14ac:dyDescent="0.25">
      <c r="A44" s="4">
        <v>45917</v>
      </c>
      <c r="B44" s="5" t="s">
        <v>80</v>
      </c>
      <c r="C44" s="5">
        <v>-1.99</v>
      </c>
      <c r="D44" s="21">
        <f t="shared" si="1"/>
        <v>1.99</v>
      </c>
      <c r="E44" s="5" t="s">
        <v>8</v>
      </c>
      <c r="F44" s="5" t="s">
        <v>170</v>
      </c>
    </row>
    <row r="45" spans="1:6" ht="20" x14ac:dyDescent="0.25">
      <c r="A45" s="4">
        <v>45917</v>
      </c>
      <c r="B45" s="5" t="s">
        <v>110</v>
      </c>
      <c r="C45" s="5">
        <v>-44.99</v>
      </c>
      <c r="D45" s="21">
        <f t="shared" si="1"/>
        <v>44.99</v>
      </c>
      <c r="E45" s="5" t="s">
        <v>14</v>
      </c>
      <c r="F45" s="5" t="s">
        <v>170</v>
      </c>
    </row>
    <row r="46" spans="1:6" ht="20" x14ac:dyDescent="0.25">
      <c r="A46" s="4">
        <v>45917</v>
      </c>
      <c r="B46" s="5" t="s">
        <v>20</v>
      </c>
      <c r="C46" s="5">
        <v>-8.69</v>
      </c>
      <c r="D46" s="21">
        <f t="shared" si="1"/>
        <v>8.69</v>
      </c>
      <c r="E46" s="5" t="s">
        <v>11</v>
      </c>
      <c r="F46" s="5" t="s">
        <v>9</v>
      </c>
    </row>
    <row r="47" spans="1:6" ht="20" x14ac:dyDescent="0.25">
      <c r="A47" s="4">
        <v>45917</v>
      </c>
      <c r="B47" s="5" t="s">
        <v>23</v>
      </c>
      <c r="C47" s="5">
        <v>-11.94</v>
      </c>
      <c r="D47" s="21">
        <f t="shared" si="1"/>
        <v>11.94</v>
      </c>
      <c r="E47" s="5" t="s">
        <v>11</v>
      </c>
      <c r="F47" s="5" t="s">
        <v>9</v>
      </c>
    </row>
    <row r="48" spans="1:6" ht="20" x14ac:dyDescent="0.25">
      <c r="A48" s="4">
        <v>45918</v>
      </c>
      <c r="B48" s="5" t="s">
        <v>15</v>
      </c>
      <c r="C48" s="5">
        <v>-2.99</v>
      </c>
      <c r="D48" s="21">
        <f t="shared" si="1"/>
        <v>2.99</v>
      </c>
      <c r="E48" s="5" t="s">
        <v>8</v>
      </c>
      <c r="F48" s="5" t="s">
        <v>9</v>
      </c>
    </row>
    <row r="49" spans="1:6" ht="20" x14ac:dyDescent="0.25">
      <c r="A49" s="4">
        <v>45919</v>
      </c>
      <c r="B49" s="5" t="s">
        <v>205</v>
      </c>
      <c r="C49" s="5">
        <v>-84.83</v>
      </c>
      <c r="D49" s="21">
        <f t="shared" si="1"/>
        <v>84.83</v>
      </c>
      <c r="E49" s="5" t="s">
        <v>98</v>
      </c>
      <c r="F49" s="5" t="s">
        <v>113</v>
      </c>
    </row>
    <row r="50" spans="1:6" ht="20" x14ac:dyDescent="0.25">
      <c r="A50" s="4">
        <v>45919</v>
      </c>
      <c r="B50" s="5" t="s">
        <v>168</v>
      </c>
      <c r="C50" s="5">
        <v>-12.15</v>
      </c>
      <c r="D50" s="21">
        <f t="shared" si="1"/>
        <v>12.15</v>
      </c>
      <c r="E50" s="5" t="s">
        <v>11</v>
      </c>
      <c r="F50" s="5" t="s">
        <v>47</v>
      </c>
    </row>
    <row r="51" spans="1:6" ht="20" x14ac:dyDescent="0.25">
      <c r="A51" s="4">
        <v>45919</v>
      </c>
      <c r="B51" s="6" t="s">
        <v>192</v>
      </c>
      <c r="C51" s="5">
        <v>-10</v>
      </c>
      <c r="D51" s="21">
        <f t="shared" si="1"/>
        <v>10</v>
      </c>
      <c r="E51" s="5" t="s">
        <v>186</v>
      </c>
      <c r="F51" s="5" t="s">
        <v>47</v>
      </c>
    </row>
    <row r="52" spans="1:6" ht="20" x14ac:dyDescent="0.25">
      <c r="A52" s="4">
        <v>45919</v>
      </c>
      <c r="B52" s="5" t="s">
        <v>10</v>
      </c>
      <c r="C52" s="5">
        <v>-27.07</v>
      </c>
      <c r="D52" s="21">
        <f t="shared" si="1"/>
        <v>27.07</v>
      </c>
      <c r="E52" s="5" t="s">
        <v>11</v>
      </c>
      <c r="F52" s="5" t="s">
        <v>47</v>
      </c>
    </row>
    <row r="53" spans="1:6" ht="20" x14ac:dyDescent="0.25">
      <c r="A53" s="4">
        <v>45922</v>
      </c>
      <c r="B53" s="5" t="s">
        <v>189</v>
      </c>
      <c r="C53" s="5">
        <v>-2.5299999999999998</v>
      </c>
      <c r="D53" s="21">
        <f t="shared" si="1"/>
        <v>2.5299999999999998</v>
      </c>
      <c r="E53" s="5" t="s">
        <v>6</v>
      </c>
      <c r="F53" s="5" t="s">
        <v>170</v>
      </c>
    </row>
    <row r="54" spans="1:6" ht="20" x14ac:dyDescent="0.25">
      <c r="A54" s="4">
        <v>45922</v>
      </c>
      <c r="B54" s="5" t="s">
        <v>206</v>
      </c>
      <c r="C54" s="5">
        <v>-3250</v>
      </c>
      <c r="D54" s="21">
        <f t="shared" si="1"/>
        <v>3250</v>
      </c>
      <c r="E54" s="5" t="s">
        <v>98</v>
      </c>
      <c r="F54" s="5" t="s">
        <v>113</v>
      </c>
    </row>
    <row r="55" spans="1:6" ht="20" x14ac:dyDescent="0.25">
      <c r="A55" s="4">
        <v>45922</v>
      </c>
      <c r="B55" s="5" t="s">
        <v>6</v>
      </c>
      <c r="C55" s="5">
        <v>-6.56</v>
      </c>
      <c r="D55" s="21">
        <f t="shared" si="1"/>
        <v>6.56</v>
      </c>
      <c r="E55" s="5" t="s">
        <v>11</v>
      </c>
      <c r="F55" s="5" t="s">
        <v>170</v>
      </c>
    </row>
    <row r="56" spans="1:6" ht="20" x14ac:dyDescent="0.25">
      <c r="A56" s="4">
        <v>45922</v>
      </c>
      <c r="B56" s="6" t="s">
        <v>190</v>
      </c>
      <c r="C56" s="5">
        <v>-20</v>
      </c>
      <c r="D56" s="21">
        <f t="shared" si="1"/>
        <v>20</v>
      </c>
      <c r="E56" s="5" t="s">
        <v>186</v>
      </c>
      <c r="F56" s="5" t="s">
        <v>47</v>
      </c>
    </row>
    <row r="57" spans="1:6" ht="20" x14ac:dyDescent="0.25">
      <c r="A57" s="4">
        <v>45923</v>
      </c>
      <c r="B57" s="5" t="s">
        <v>207</v>
      </c>
      <c r="C57" s="5">
        <v>-2.4900000000000002</v>
      </c>
      <c r="D57" s="21">
        <f t="shared" si="1"/>
        <v>2.4900000000000002</v>
      </c>
      <c r="E57" s="5" t="s">
        <v>98</v>
      </c>
      <c r="F57" s="5" t="s">
        <v>113</v>
      </c>
    </row>
    <row r="58" spans="1:6" ht="20" x14ac:dyDescent="0.25">
      <c r="A58" s="4">
        <v>45923</v>
      </c>
      <c r="B58" s="5" t="s">
        <v>168</v>
      </c>
      <c r="C58" s="5">
        <v>-54.25</v>
      </c>
      <c r="D58" s="21">
        <f t="shared" si="1"/>
        <v>54.25</v>
      </c>
      <c r="E58" s="5" t="s">
        <v>11</v>
      </c>
      <c r="F58" s="5" t="s">
        <v>47</v>
      </c>
    </row>
    <row r="59" spans="1:6" ht="20" x14ac:dyDescent="0.25">
      <c r="A59" s="4">
        <v>45924</v>
      </c>
      <c r="B59" s="5" t="s">
        <v>6</v>
      </c>
      <c r="C59" s="5">
        <v>-36.729999999999997</v>
      </c>
      <c r="D59" s="21">
        <f t="shared" si="1"/>
        <v>36.729999999999997</v>
      </c>
      <c r="E59" s="5" t="s">
        <v>11</v>
      </c>
      <c r="F59" s="5" t="s">
        <v>170</v>
      </c>
    </row>
    <row r="60" spans="1:6" ht="20" x14ac:dyDescent="0.25">
      <c r="A60" s="4">
        <v>45924</v>
      </c>
      <c r="B60" s="5" t="s">
        <v>168</v>
      </c>
      <c r="C60" s="5">
        <v>-27.95</v>
      </c>
      <c r="D60" s="21">
        <f t="shared" si="1"/>
        <v>27.95</v>
      </c>
      <c r="E60" s="5" t="s">
        <v>209</v>
      </c>
      <c r="F60" s="5" t="s">
        <v>47</v>
      </c>
    </row>
    <row r="61" spans="1:6" ht="20" x14ac:dyDescent="0.25">
      <c r="A61" s="4">
        <v>45924</v>
      </c>
      <c r="B61" s="5" t="s">
        <v>168</v>
      </c>
      <c r="C61" s="5">
        <v>-19.420000000000002</v>
      </c>
      <c r="D61" s="21">
        <f>-C61-3.8</f>
        <v>15.620000000000001</v>
      </c>
      <c r="E61" s="5" t="s">
        <v>11</v>
      </c>
      <c r="F61" s="5" t="s">
        <v>47</v>
      </c>
    </row>
    <row r="62" spans="1:6" ht="20" x14ac:dyDescent="0.25">
      <c r="A62" s="4">
        <v>45924</v>
      </c>
      <c r="B62" s="5" t="s">
        <v>188</v>
      </c>
      <c r="C62" s="5">
        <v>-16</v>
      </c>
      <c r="D62" s="21">
        <f>(-C62+6.25)/2</f>
        <v>11.125</v>
      </c>
      <c r="E62" s="5" t="s">
        <v>8</v>
      </c>
      <c r="F62" s="5" t="s">
        <v>47</v>
      </c>
    </row>
    <row r="63" spans="1:6" ht="20" x14ac:dyDescent="0.25">
      <c r="A63" s="4">
        <v>45926</v>
      </c>
      <c r="B63" s="5" t="s">
        <v>72</v>
      </c>
      <c r="C63" s="5">
        <v>-30</v>
      </c>
      <c r="D63" s="21">
        <f>-C63</f>
        <v>30</v>
      </c>
      <c r="E63" s="5" t="s">
        <v>98</v>
      </c>
      <c r="F63" s="5" t="s">
        <v>47</v>
      </c>
    </row>
    <row r="64" spans="1:6" ht="20" x14ac:dyDescent="0.25">
      <c r="A64" s="4">
        <v>45926</v>
      </c>
      <c r="B64" s="5" t="s">
        <v>187</v>
      </c>
      <c r="C64" s="5">
        <v>-50.82</v>
      </c>
      <c r="D64" s="21">
        <f>-C64+12.35</f>
        <v>63.17</v>
      </c>
      <c r="E64" s="5" t="s">
        <v>6</v>
      </c>
      <c r="F64" s="5" t="s">
        <v>47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D6B97-98FD-3242-83CD-F04A13312B7A}">
  <dimension ref="A1:I73"/>
  <sheetViews>
    <sheetView workbookViewId="0">
      <selection activeCell="D58" sqref="D58"/>
    </sheetView>
  </sheetViews>
  <sheetFormatPr baseColWidth="10" defaultRowHeight="16" x14ac:dyDescent="0.2"/>
  <cols>
    <col min="1" max="1" width="11.1640625" bestFit="1" customWidth="1"/>
    <col min="2" max="2" width="38" bestFit="1" customWidth="1"/>
    <col min="3" max="3" width="9.5" hidden="1" customWidth="1"/>
    <col min="4" max="4" width="13.1640625" customWidth="1"/>
    <col min="5" max="5" width="24.5" bestFit="1" customWidth="1"/>
    <col min="6" max="6" width="45.5" bestFit="1" customWidth="1"/>
    <col min="8" max="8" width="15.33203125" bestFit="1" customWidth="1"/>
    <col min="9" max="9" width="13.5" bestFit="1" customWidth="1"/>
  </cols>
  <sheetData>
    <row r="1" spans="1:9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60" t="s">
        <v>4</v>
      </c>
      <c r="I1" s="60" t="s">
        <v>44</v>
      </c>
    </row>
    <row r="2" spans="1:9" ht="20" hidden="1" x14ac:dyDescent="0.25">
      <c r="A2" s="4">
        <v>45931</v>
      </c>
      <c r="B2" s="5" t="s">
        <v>48</v>
      </c>
      <c r="C2" s="5">
        <v>-9.44</v>
      </c>
      <c r="D2" s="5">
        <f t="shared" ref="D2:D39" si="0">-C2</f>
        <v>9.44</v>
      </c>
      <c r="E2" s="5" t="s">
        <v>11</v>
      </c>
      <c r="F2" s="5" t="s">
        <v>47</v>
      </c>
      <c r="H2" s="44" t="s">
        <v>230</v>
      </c>
      <c r="I2" s="45">
        <v>2824.4449999999988</v>
      </c>
    </row>
    <row r="3" spans="1:9" ht="20" hidden="1" x14ac:dyDescent="0.25">
      <c r="A3" s="4">
        <v>45931</v>
      </c>
      <c r="B3" s="5" t="s">
        <v>41</v>
      </c>
      <c r="C3" s="5">
        <v>-1.99</v>
      </c>
      <c r="D3" s="5">
        <f t="shared" si="0"/>
        <v>1.99</v>
      </c>
      <c r="E3" s="5" t="s">
        <v>8</v>
      </c>
      <c r="F3" s="5" t="s">
        <v>47</v>
      </c>
      <c r="H3" s="44" t="s">
        <v>6</v>
      </c>
      <c r="I3" s="45">
        <v>72.940000000000012</v>
      </c>
    </row>
    <row r="4" spans="1:9" ht="20" hidden="1" x14ac:dyDescent="0.25">
      <c r="A4" s="4">
        <v>45931</v>
      </c>
      <c r="B4" s="5" t="s">
        <v>168</v>
      </c>
      <c r="C4" s="5">
        <v>-17.48</v>
      </c>
      <c r="D4" s="5">
        <f t="shared" si="0"/>
        <v>17.48</v>
      </c>
      <c r="E4" s="5" t="s">
        <v>11</v>
      </c>
      <c r="F4" s="5" t="s">
        <v>9</v>
      </c>
      <c r="H4" s="44" t="s">
        <v>11</v>
      </c>
      <c r="I4" s="45">
        <v>318.57999999999993</v>
      </c>
    </row>
    <row r="5" spans="1:9" ht="20" hidden="1" x14ac:dyDescent="0.25">
      <c r="A5" s="4">
        <v>45931</v>
      </c>
      <c r="B5" s="6" t="s">
        <v>23</v>
      </c>
      <c r="C5" s="5">
        <v>-22.85</v>
      </c>
      <c r="D5" s="5">
        <f t="shared" si="0"/>
        <v>22.85</v>
      </c>
      <c r="E5" s="5" t="s">
        <v>8</v>
      </c>
      <c r="F5" s="5" t="s">
        <v>9</v>
      </c>
      <c r="H5" s="44" t="s">
        <v>8</v>
      </c>
      <c r="I5" s="45">
        <v>343</v>
      </c>
    </row>
    <row r="6" spans="1:9" ht="20" hidden="1" x14ac:dyDescent="0.25">
      <c r="A6" s="4">
        <v>45931</v>
      </c>
      <c r="B6" s="5" t="s">
        <v>236</v>
      </c>
      <c r="C6" s="5">
        <v>-1.5</v>
      </c>
      <c r="D6" s="5">
        <f t="shared" si="0"/>
        <v>1.5</v>
      </c>
      <c r="E6" s="5" t="s">
        <v>11</v>
      </c>
      <c r="F6" s="5" t="s">
        <v>47</v>
      </c>
      <c r="H6" s="44" t="s">
        <v>98</v>
      </c>
      <c r="I6" s="45">
        <v>258.47000000000003</v>
      </c>
    </row>
    <row r="7" spans="1:9" ht="20" hidden="1" x14ac:dyDescent="0.25">
      <c r="A7" s="4">
        <v>45931</v>
      </c>
      <c r="B7" s="5" t="s">
        <v>238</v>
      </c>
      <c r="C7" s="5">
        <v>-40</v>
      </c>
      <c r="D7" s="5">
        <f t="shared" si="0"/>
        <v>40</v>
      </c>
      <c r="E7" s="5" t="s">
        <v>8</v>
      </c>
      <c r="F7" s="5" t="s">
        <v>21</v>
      </c>
      <c r="H7" s="60" t="s">
        <v>39</v>
      </c>
      <c r="I7" s="61">
        <v>3817.4349999999986</v>
      </c>
    </row>
    <row r="8" spans="1:9" ht="20" hidden="1" x14ac:dyDescent="0.25">
      <c r="A8" s="4">
        <v>45932</v>
      </c>
      <c r="B8" s="5" t="s">
        <v>30</v>
      </c>
      <c r="C8" s="5">
        <v>-17.53</v>
      </c>
      <c r="D8" s="5">
        <f t="shared" si="0"/>
        <v>17.53</v>
      </c>
      <c r="E8" s="5" t="s">
        <v>11</v>
      </c>
      <c r="F8" s="5" t="s">
        <v>21</v>
      </c>
    </row>
    <row r="9" spans="1:9" ht="20" hidden="1" x14ac:dyDescent="0.25">
      <c r="A9" s="4">
        <v>45933</v>
      </c>
      <c r="B9" s="5" t="s">
        <v>228</v>
      </c>
      <c r="C9" s="5">
        <v>-9.19</v>
      </c>
      <c r="D9" s="5">
        <f t="shared" si="0"/>
        <v>9.19</v>
      </c>
      <c r="E9" s="5" t="s">
        <v>11</v>
      </c>
      <c r="F9" s="5" t="s">
        <v>47</v>
      </c>
    </row>
    <row r="10" spans="1:9" ht="20" hidden="1" x14ac:dyDescent="0.25">
      <c r="A10" s="4">
        <v>45933</v>
      </c>
      <c r="B10" s="5" t="s">
        <v>157</v>
      </c>
      <c r="C10" s="5">
        <v>-5</v>
      </c>
      <c r="D10" s="5">
        <f t="shared" si="0"/>
        <v>5</v>
      </c>
      <c r="E10" s="5" t="s">
        <v>8</v>
      </c>
      <c r="F10" s="5" t="s">
        <v>47</v>
      </c>
    </row>
    <row r="11" spans="1:9" ht="20" hidden="1" x14ac:dyDescent="0.25">
      <c r="A11" s="4">
        <v>45933</v>
      </c>
      <c r="B11" s="5" t="s">
        <v>48</v>
      </c>
      <c r="C11" s="5">
        <v>-12.74</v>
      </c>
      <c r="D11" s="5">
        <f t="shared" si="0"/>
        <v>12.74</v>
      </c>
      <c r="E11" s="5" t="s">
        <v>11</v>
      </c>
      <c r="F11" s="5" t="s">
        <v>47</v>
      </c>
    </row>
    <row r="12" spans="1:9" ht="20" hidden="1" x14ac:dyDescent="0.25">
      <c r="A12" s="4">
        <v>45933</v>
      </c>
      <c r="B12" s="5" t="s">
        <v>94</v>
      </c>
      <c r="C12" s="5">
        <v>-8.3800000000000008</v>
      </c>
      <c r="D12" s="5">
        <f t="shared" si="0"/>
        <v>8.3800000000000008</v>
      </c>
      <c r="E12" s="5" t="s">
        <v>11</v>
      </c>
      <c r="F12" s="5" t="s">
        <v>47</v>
      </c>
    </row>
    <row r="13" spans="1:9" ht="20" hidden="1" x14ac:dyDescent="0.25">
      <c r="A13" s="4">
        <v>45933</v>
      </c>
      <c r="B13" s="5" t="s">
        <v>229</v>
      </c>
      <c r="C13" s="5">
        <v>-18.66</v>
      </c>
      <c r="D13" s="5">
        <f t="shared" si="0"/>
        <v>18.66</v>
      </c>
      <c r="E13" s="5" t="s">
        <v>6</v>
      </c>
      <c r="F13" s="5" t="s">
        <v>47</v>
      </c>
    </row>
    <row r="14" spans="1:9" ht="20" hidden="1" x14ac:dyDescent="0.25">
      <c r="A14" s="4">
        <v>45933</v>
      </c>
      <c r="B14" s="5" t="s">
        <v>10</v>
      </c>
      <c r="C14" s="5">
        <v>-72.52</v>
      </c>
      <c r="D14" s="5">
        <f t="shared" si="0"/>
        <v>72.52</v>
      </c>
      <c r="E14" s="5" t="s">
        <v>11</v>
      </c>
      <c r="F14" s="5" t="s">
        <v>47</v>
      </c>
    </row>
    <row r="15" spans="1:9" ht="20" hidden="1" x14ac:dyDescent="0.25">
      <c r="A15" s="4">
        <v>45934</v>
      </c>
      <c r="B15" s="5" t="s">
        <v>41</v>
      </c>
      <c r="C15" s="5">
        <v>-4.25</v>
      </c>
      <c r="D15" s="5">
        <f t="shared" si="0"/>
        <v>4.25</v>
      </c>
      <c r="E15" s="5" t="s">
        <v>8</v>
      </c>
      <c r="F15" s="5" t="s">
        <v>47</v>
      </c>
    </row>
    <row r="16" spans="1:9" ht="20" hidden="1" x14ac:dyDescent="0.25">
      <c r="A16" s="4">
        <v>45936</v>
      </c>
      <c r="B16" s="5" t="s">
        <v>87</v>
      </c>
      <c r="C16" s="5">
        <v>-9.25</v>
      </c>
      <c r="D16" s="5">
        <f t="shared" si="0"/>
        <v>9.25</v>
      </c>
      <c r="E16" s="5" t="s">
        <v>6</v>
      </c>
      <c r="F16" s="5" t="s">
        <v>170</v>
      </c>
    </row>
    <row r="17" spans="1:6" ht="20" hidden="1" x14ac:dyDescent="0.25">
      <c r="A17" s="4">
        <v>45936</v>
      </c>
      <c r="B17" s="5" t="s">
        <v>235</v>
      </c>
      <c r="C17" s="5">
        <v>-2.1</v>
      </c>
      <c r="D17" s="5">
        <f t="shared" si="0"/>
        <v>2.1</v>
      </c>
      <c r="E17" s="5" t="s">
        <v>11</v>
      </c>
      <c r="F17" s="5" t="s">
        <v>113</v>
      </c>
    </row>
    <row r="18" spans="1:6" ht="20" hidden="1" x14ac:dyDescent="0.25">
      <c r="A18" s="4">
        <v>45936</v>
      </c>
      <c r="B18" s="5" t="s">
        <v>197</v>
      </c>
      <c r="C18" s="5">
        <v>-19.82</v>
      </c>
      <c r="D18" s="5">
        <f t="shared" si="0"/>
        <v>19.82</v>
      </c>
      <c r="E18" s="5" t="s">
        <v>6</v>
      </c>
      <c r="F18" s="5" t="s">
        <v>113</v>
      </c>
    </row>
    <row r="19" spans="1:6" ht="20" hidden="1" x14ac:dyDescent="0.25">
      <c r="A19" s="4">
        <v>45936</v>
      </c>
      <c r="B19" s="5" t="s">
        <v>48</v>
      </c>
      <c r="C19" s="5">
        <v>-6.23</v>
      </c>
      <c r="D19" s="5">
        <f t="shared" si="0"/>
        <v>6.23</v>
      </c>
      <c r="E19" s="5" t="s">
        <v>11</v>
      </c>
      <c r="F19" s="5" t="s">
        <v>47</v>
      </c>
    </row>
    <row r="20" spans="1:6" ht="20" hidden="1" x14ac:dyDescent="0.25">
      <c r="A20" s="4">
        <v>45936</v>
      </c>
      <c r="B20" s="5" t="s">
        <v>48</v>
      </c>
      <c r="C20" s="5">
        <v>-20.9</v>
      </c>
      <c r="D20" s="5">
        <f t="shared" si="0"/>
        <v>20.9</v>
      </c>
      <c r="E20" s="5" t="s">
        <v>11</v>
      </c>
      <c r="F20" s="5" t="s">
        <v>47</v>
      </c>
    </row>
    <row r="21" spans="1:6" ht="20" hidden="1" x14ac:dyDescent="0.25">
      <c r="A21" s="4">
        <v>45936</v>
      </c>
      <c r="B21" s="5" t="s">
        <v>41</v>
      </c>
      <c r="C21" s="5">
        <v>-5</v>
      </c>
      <c r="D21" s="5">
        <f t="shared" si="0"/>
        <v>5</v>
      </c>
      <c r="E21" s="5" t="s">
        <v>8</v>
      </c>
      <c r="F21" s="5" t="s">
        <v>47</v>
      </c>
    </row>
    <row r="22" spans="1:6" ht="20" hidden="1" x14ac:dyDescent="0.25">
      <c r="A22" s="4">
        <v>45936</v>
      </c>
      <c r="B22" s="5" t="s">
        <v>41</v>
      </c>
      <c r="C22" s="5">
        <v>-5</v>
      </c>
      <c r="D22" s="5">
        <f t="shared" si="0"/>
        <v>5</v>
      </c>
      <c r="E22" s="5" t="s">
        <v>8</v>
      </c>
      <c r="F22" s="5" t="s">
        <v>47</v>
      </c>
    </row>
    <row r="23" spans="1:6" ht="20" hidden="1" x14ac:dyDescent="0.25">
      <c r="A23" s="4">
        <v>45936</v>
      </c>
      <c r="B23" s="5" t="s">
        <v>41</v>
      </c>
      <c r="C23" s="5">
        <v>-25</v>
      </c>
      <c r="D23" s="5">
        <f t="shared" si="0"/>
        <v>25</v>
      </c>
      <c r="E23" s="5" t="s">
        <v>8</v>
      </c>
      <c r="F23" s="5" t="s">
        <v>47</v>
      </c>
    </row>
    <row r="24" spans="1:6" ht="20" hidden="1" x14ac:dyDescent="0.25">
      <c r="A24" s="4">
        <v>45937</v>
      </c>
      <c r="B24" s="5" t="s">
        <v>20</v>
      </c>
      <c r="C24" s="5">
        <v>-11.75</v>
      </c>
      <c r="D24" s="5">
        <f t="shared" si="0"/>
        <v>11.75</v>
      </c>
      <c r="E24" s="5" t="s">
        <v>8</v>
      </c>
      <c r="F24" s="5" t="s">
        <v>9</v>
      </c>
    </row>
    <row r="25" spans="1:6" ht="20" hidden="1" x14ac:dyDescent="0.25">
      <c r="A25" s="4">
        <v>45937</v>
      </c>
      <c r="B25" s="5" t="s">
        <v>20</v>
      </c>
      <c r="C25" s="5">
        <v>-6.52</v>
      </c>
      <c r="D25" s="5">
        <f t="shared" si="0"/>
        <v>6.52</v>
      </c>
      <c r="E25" s="5" t="s">
        <v>8</v>
      </c>
      <c r="F25" s="5" t="s">
        <v>9</v>
      </c>
    </row>
    <row r="26" spans="1:6" ht="20" hidden="1" x14ac:dyDescent="0.25">
      <c r="A26" s="4">
        <v>45937</v>
      </c>
      <c r="B26" s="5" t="s">
        <v>237</v>
      </c>
      <c r="C26" s="5">
        <v>-9.99</v>
      </c>
      <c r="D26" s="5">
        <f t="shared" si="0"/>
        <v>9.99</v>
      </c>
      <c r="E26" s="5" t="s">
        <v>8</v>
      </c>
      <c r="F26" s="5" t="s">
        <v>9</v>
      </c>
    </row>
    <row r="27" spans="1:6" ht="20" hidden="1" x14ac:dyDescent="0.25">
      <c r="A27" s="4">
        <v>45938</v>
      </c>
      <c r="B27" s="5" t="s">
        <v>30</v>
      </c>
      <c r="C27" s="5">
        <v>-32.049999999999997</v>
      </c>
      <c r="D27" s="5">
        <f t="shared" si="0"/>
        <v>32.049999999999997</v>
      </c>
      <c r="E27" s="5" t="s">
        <v>8</v>
      </c>
      <c r="F27" s="5" t="s">
        <v>21</v>
      </c>
    </row>
    <row r="28" spans="1:6" ht="20" hidden="1" x14ac:dyDescent="0.25">
      <c r="A28" s="4">
        <v>45938</v>
      </c>
      <c r="B28" s="5" t="s">
        <v>225</v>
      </c>
      <c r="C28" s="5">
        <v>-30.92</v>
      </c>
      <c r="D28" s="5">
        <f t="shared" si="0"/>
        <v>30.92</v>
      </c>
      <c r="E28" s="5" t="s">
        <v>11</v>
      </c>
      <c r="F28" s="5" t="s">
        <v>9</v>
      </c>
    </row>
    <row r="29" spans="1:6" ht="20" hidden="1" x14ac:dyDescent="0.25">
      <c r="A29" s="4">
        <v>45938</v>
      </c>
      <c r="B29" s="5" t="s">
        <v>208</v>
      </c>
      <c r="C29" s="5">
        <v>-10</v>
      </c>
      <c r="D29" s="5">
        <f t="shared" si="0"/>
        <v>10</v>
      </c>
      <c r="E29" s="5" t="s">
        <v>98</v>
      </c>
      <c r="F29" s="5" t="s">
        <v>113</v>
      </c>
    </row>
    <row r="30" spans="1:6" ht="20" hidden="1" x14ac:dyDescent="0.25">
      <c r="A30" s="4">
        <v>45938</v>
      </c>
      <c r="B30" s="5" t="s">
        <v>168</v>
      </c>
      <c r="C30" s="5">
        <v>-5.76</v>
      </c>
      <c r="D30" s="5">
        <f t="shared" si="0"/>
        <v>5.76</v>
      </c>
      <c r="E30" s="5" t="s">
        <v>11</v>
      </c>
      <c r="F30" s="5" t="s">
        <v>113</v>
      </c>
    </row>
    <row r="31" spans="1:6" ht="20" hidden="1" x14ac:dyDescent="0.25">
      <c r="A31" s="4">
        <v>45938</v>
      </c>
      <c r="B31" s="5" t="s">
        <v>10</v>
      </c>
      <c r="C31" s="5">
        <v>-5.58</v>
      </c>
      <c r="D31" s="5">
        <f t="shared" si="0"/>
        <v>5.58</v>
      </c>
      <c r="E31" s="5" t="s">
        <v>11</v>
      </c>
      <c r="F31" s="5" t="s">
        <v>113</v>
      </c>
    </row>
    <row r="32" spans="1:6" ht="20" hidden="1" x14ac:dyDescent="0.25">
      <c r="A32" s="4">
        <v>45939</v>
      </c>
      <c r="B32" s="5" t="s">
        <v>227</v>
      </c>
      <c r="C32" s="5">
        <v>-42.46</v>
      </c>
      <c r="D32" s="5">
        <f t="shared" si="0"/>
        <v>42.46</v>
      </c>
      <c r="E32" s="5" t="s">
        <v>8</v>
      </c>
      <c r="F32" s="5" t="s">
        <v>113</v>
      </c>
    </row>
    <row r="33" spans="1:6" ht="20" hidden="1" x14ac:dyDescent="0.25">
      <c r="A33" s="4">
        <v>45939</v>
      </c>
      <c r="B33" s="5" t="s">
        <v>156</v>
      </c>
      <c r="C33" s="5">
        <v>-32.700000000000003</v>
      </c>
      <c r="D33" s="5">
        <f t="shared" si="0"/>
        <v>32.700000000000003</v>
      </c>
      <c r="E33" s="5" t="s">
        <v>8</v>
      </c>
      <c r="F33" s="5" t="s">
        <v>47</v>
      </c>
    </row>
    <row r="34" spans="1:6" ht="20" hidden="1" x14ac:dyDescent="0.25">
      <c r="A34" s="4">
        <v>45939</v>
      </c>
      <c r="B34" s="5" t="s">
        <v>48</v>
      </c>
      <c r="C34" s="5">
        <v>-22.58</v>
      </c>
      <c r="D34" s="5">
        <f t="shared" si="0"/>
        <v>22.58</v>
      </c>
      <c r="E34" s="5" t="s">
        <v>11</v>
      </c>
      <c r="F34" s="5" t="s">
        <v>47</v>
      </c>
    </row>
    <row r="35" spans="1:6" ht="20" hidden="1" x14ac:dyDescent="0.25">
      <c r="A35" s="4">
        <v>45939</v>
      </c>
      <c r="B35" s="5" t="s">
        <v>228</v>
      </c>
      <c r="C35" s="5">
        <v>-7.99</v>
      </c>
      <c r="D35" s="5">
        <f t="shared" si="0"/>
        <v>7.99</v>
      </c>
      <c r="E35" s="5" t="s">
        <v>11</v>
      </c>
      <c r="F35" s="5" t="s">
        <v>47</v>
      </c>
    </row>
    <row r="36" spans="1:6" ht="20" hidden="1" x14ac:dyDescent="0.25">
      <c r="A36" s="4">
        <v>45939</v>
      </c>
      <c r="B36" s="5" t="s">
        <v>228</v>
      </c>
      <c r="C36" s="5">
        <v>-43.9</v>
      </c>
      <c r="D36" s="5">
        <f t="shared" si="0"/>
        <v>43.9</v>
      </c>
      <c r="E36" s="5" t="s">
        <v>11</v>
      </c>
      <c r="F36" s="5" t="s">
        <v>47</v>
      </c>
    </row>
    <row r="37" spans="1:6" ht="20" hidden="1" x14ac:dyDescent="0.25">
      <c r="A37" s="4">
        <v>45939</v>
      </c>
      <c r="B37" s="5" t="s">
        <v>30</v>
      </c>
      <c r="C37" s="5">
        <v>-23.84</v>
      </c>
      <c r="D37" s="5">
        <f t="shared" si="0"/>
        <v>23.84</v>
      </c>
      <c r="E37" s="5" t="s">
        <v>11</v>
      </c>
      <c r="F37" s="5" t="s">
        <v>21</v>
      </c>
    </row>
    <row r="38" spans="1:6" ht="20" hidden="1" x14ac:dyDescent="0.25">
      <c r="A38" s="4">
        <v>45940</v>
      </c>
      <c r="B38" s="5" t="s">
        <v>226</v>
      </c>
      <c r="C38" s="5">
        <v>-13.12</v>
      </c>
      <c r="D38" s="5">
        <f t="shared" si="0"/>
        <v>13.12</v>
      </c>
      <c r="E38" s="5" t="s">
        <v>6</v>
      </c>
      <c r="F38" s="5" t="s">
        <v>47</v>
      </c>
    </row>
    <row r="39" spans="1:6" ht="20" hidden="1" x14ac:dyDescent="0.25">
      <c r="A39" s="4">
        <v>45944</v>
      </c>
      <c r="B39" s="5" t="s">
        <v>239</v>
      </c>
      <c r="C39" s="5">
        <v>-82.7</v>
      </c>
      <c r="D39" s="5">
        <f t="shared" si="0"/>
        <v>82.7</v>
      </c>
      <c r="E39" s="5" t="s">
        <v>8</v>
      </c>
      <c r="F39" s="5" t="s">
        <v>21</v>
      </c>
    </row>
    <row r="40" spans="1:6" ht="20" hidden="1" x14ac:dyDescent="0.25">
      <c r="A40" s="4">
        <v>45946</v>
      </c>
      <c r="B40" s="5" t="s">
        <v>19</v>
      </c>
      <c r="C40" s="5">
        <v>-3.3</v>
      </c>
      <c r="D40" s="5">
        <f>-C40+2.27+0.28+2.2</f>
        <v>8.0500000000000007</v>
      </c>
      <c r="E40" s="5" t="s">
        <v>6</v>
      </c>
      <c r="F40" s="5" t="s">
        <v>47</v>
      </c>
    </row>
    <row r="41" spans="1:6" ht="20" x14ac:dyDescent="0.25">
      <c r="A41" s="4">
        <v>45947</v>
      </c>
      <c r="B41" s="66" t="s">
        <v>282</v>
      </c>
      <c r="C41" s="5">
        <v>-380.3</v>
      </c>
      <c r="D41" s="5">
        <f>-C41</f>
        <v>380.3</v>
      </c>
      <c r="E41" s="5" t="s">
        <v>230</v>
      </c>
      <c r="F41" s="5" t="s">
        <v>47</v>
      </c>
    </row>
    <row r="42" spans="1:6" ht="20" hidden="1" x14ac:dyDescent="0.25">
      <c r="A42" s="4">
        <v>45947</v>
      </c>
      <c r="B42" s="5" t="s">
        <v>20</v>
      </c>
      <c r="C42" s="5">
        <v>-10.76</v>
      </c>
      <c r="D42" s="5">
        <f>-C42</f>
        <v>10.76</v>
      </c>
      <c r="E42" s="5" t="s">
        <v>8</v>
      </c>
      <c r="F42" s="5" t="s">
        <v>9</v>
      </c>
    </row>
    <row r="43" spans="1:6" ht="20" hidden="1" x14ac:dyDescent="0.25">
      <c r="A43" s="4">
        <v>45947</v>
      </c>
      <c r="B43" s="5" t="s">
        <v>80</v>
      </c>
      <c r="C43" s="5">
        <v>-1.99</v>
      </c>
      <c r="D43" s="5">
        <f>-C43</f>
        <v>1.99</v>
      </c>
      <c r="E43" s="5" t="s">
        <v>8</v>
      </c>
      <c r="F43" s="5" t="s">
        <v>170</v>
      </c>
    </row>
    <row r="44" spans="1:6" ht="20" x14ac:dyDescent="0.25">
      <c r="A44" s="4">
        <v>45948</v>
      </c>
      <c r="B44" s="66" t="s">
        <v>233</v>
      </c>
      <c r="C44" s="5">
        <v>-1221.52</v>
      </c>
      <c r="D44" s="5">
        <f>-C44/2</f>
        <v>610.76</v>
      </c>
      <c r="E44" s="5" t="s">
        <v>230</v>
      </c>
      <c r="F44" s="5" t="s">
        <v>47</v>
      </c>
    </row>
    <row r="45" spans="1:6" ht="20" hidden="1" x14ac:dyDescent="0.25">
      <c r="A45" s="4">
        <v>45948</v>
      </c>
      <c r="B45" s="5" t="s">
        <v>15</v>
      </c>
      <c r="C45" s="5">
        <v>-2.99</v>
      </c>
      <c r="D45" s="5">
        <f>-C45</f>
        <v>2.99</v>
      </c>
      <c r="E45" s="5" t="s">
        <v>8</v>
      </c>
      <c r="F45" s="5" t="s">
        <v>9</v>
      </c>
    </row>
    <row r="46" spans="1:6" ht="20" x14ac:dyDescent="0.25">
      <c r="A46" s="4">
        <v>45950</v>
      </c>
      <c r="B46" s="66" t="s">
        <v>107</v>
      </c>
      <c r="C46" s="5">
        <v>-277</v>
      </c>
      <c r="D46" s="5">
        <f>-C46</f>
        <v>277</v>
      </c>
      <c r="E46" s="5" t="s">
        <v>230</v>
      </c>
      <c r="F46" s="5" t="s">
        <v>47</v>
      </c>
    </row>
    <row r="47" spans="1:6" ht="20" hidden="1" x14ac:dyDescent="0.25">
      <c r="A47" s="4">
        <v>45950</v>
      </c>
      <c r="B47" s="5" t="s">
        <v>127</v>
      </c>
      <c r="C47" s="5">
        <v>-75.98</v>
      </c>
      <c r="D47" s="5">
        <f>-C47</f>
        <v>75.98</v>
      </c>
      <c r="E47" s="5" t="s">
        <v>98</v>
      </c>
      <c r="F47" s="5" t="s">
        <v>113</v>
      </c>
    </row>
    <row r="48" spans="1:6" ht="20" hidden="1" x14ac:dyDescent="0.25">
      <c r="A48" s="4">
        <v>45951</v>
      </c>
      <c r="B48" s="5" t="s">
        <v>232</v>
      </c>
      <c r="C48" s="5">
        <v>-2.4900000000000002</v>
      </c>
      <c r="D48" s="5">
        <f>-C48</f>
        <v>2.4900000000000002</v>
      </c>
      <c r="E48" s="5" t="s">
        <v>98</v>
      </c>
      <c r="F48" s="5" t="s">
        <v>113</v>
      </c>
    </row>
    <row r="49" spans="1:6" ht="20" hidden="1" x14ac:dyDescent="0.25">
      <c r="A49" s="4">
        <v>45951</v>
      </c>
      <c r="B49" s="5" t="s">
        <v>234</v>
      </c>
      <c r="C49" s="5">
        <v>-3250</v>
      </c>
      <c r="D49" s="5">
        <f>-C49-3080</f>
        <v>170</v>
      </c>
      <c r="E49" s="5" t="s">
        <v>98</v>
      </c>
      <c r="F49" s="5" t="s">
        <v>113</v>
      </c>
    </row>
    <row r="50" spans="1:6" ht="20" x14ac:dyDescent="0.25">
      <c r="A50" s="4">
        <v>45955</v>
      </c>
      <c r="B50" s="5" t="s">
        <v>219</v>
      </c>
      <c r="C50" s="5">
        <v>-0.33</v>
      </c>
      <c r="D50" s="5">
        <f>-C50</f>
        <v>0.33</v>
      </c>
      <c r="E50" s="5" t="s">
        <v>230</v>
      </c>
      <c r="F50" s="5" t="s">
        <v>170</v>
      </c>
    </row>
    <row r="51" spans="1:6" ht="20" hidden="1" x14ac:dyDescent="0.25">
      <c r="A51" s="4">
        <v>45955</v>
      </c>
      <c r="B51" s="5" t="s">
        <v>231</v>
      </c>
      <c r="C51" s="5">
        <v>-2.39</v>
      </c>
      <c r="D51" s="5">
        <f>-C51+1.65</f>
        <v>4.04</v>
      </c>
      <c r="E51" s="5" t="s">
        <v>6</v>
      </c>
      <c r="F51" s="5" t="s">
        <v>47</v>
      </c>
    </row>
    <row r="52" spans="1:6" ht="20" x14ac:dyDescent="0.25">
      <c r="A52" s="4">
        <v>45956</v>
      </c>
      <c r="B52" s="66" t="s">
        <v>224</v>
      </c>
      <c r="C52" s="5">
        <v>-28.22</v>
      </c>
      <c r="D52" s="5">
        <f>-C52/2</f>
        <v>14.11</v>
      </c>
      <c r="E52" s="5" t="s">
        <v>230</v>
      </c>
      <c r="F52" s="5" t="s">
        <v>47</v>
      </c>
    </row>
    <row r="53" spans="1:6" ht="20" x14ac:dyDescent="0.25">
      <c r="A53" s="4">
        <v>45958</v>
      </c>
      <c r="B53" s="66" t="s">
        <v>210</v>
      </c>
      <c r="C53" s="5">
        <v>-3.61</v>
      </c>
      <c r="D53" s="5">
        <f>-C53</f>
        <v>3.61</v>
      </c>
      <c r="E53" s="5" t="s">
        <v>230</v>
      </c>
      <c r="F53" s="5" t="s">
        <v>47</v>
      </c>
    </row>
    <row r="54" spans="1:6" ht="20" x14ac:dyDescent="0.25">
      <c r="A54" s="4">
        <v>45959</v>
      </c>
      <c r="B54" s="66" t="s">
        <v>216</v>
      </c>
      <c r="C54" s="5">
        <v>-65</v>
      </c>
      <c r="D54" s="5">
        <f>-C54</f>
        <v>65</v>
      </c>
      <c r="E54" s="5" t="s">
        <v>230</v>
      </c>
      <c r="F54" s="5" t="s">
        <v>47</v>
      </c>
    </row>
    <row r="55" spans="1:6" ht="20" x14ac:dyDescent="0.25">
      <c r="A55" s="4">
        <v>45959</v>
      </c>
      <c r="B55" s="66" t="s">
        <v>222</v>
      </c>
      <c r="C55" s="5">
        <v>-44.22</v>
      </c>
      <c r="D55" s="5">
        <f>-C55/2</f>
        <v>22.11</v>
      </c>
      <c r="E55" s="5" t="s">
        <v>230</v>
      </c>
      <c r="F55" s="5" t="s">
        <v>47</v>
      </c>
    </row>
    <row r="56" spans="1:6" ht="20" x14ac:dyDescent="0.25">
      <c r="A56" s="4">
        <v>45959</v>
      </c>
      <c r="B56" s="66" t="s">
        <v>223</v>
      </c>
      <c r="C56" s="5">
        <v>-3.9</v>
      </c>
      <c r="D56" s="5">
        <f t="shared" ref="D56:D60" si="1">-C56</f>
        <v>3.9</v>
      </c>
      <c r="E56" s="5" t="s">
        <v>230</v>
      </c>
      <c r="F56" s="5" t="s">
        <v>47</v>
      </c>
    </row>
    <row r="57" spans="1:6" ht="20" x14ac:dyDescent="0.25">
      <c r="A57" s="4">
        <v>45959</v>
      </c>
      <c r="B57" s="66" t="s">
        <v>210</v>
      </c>
      <c r="C57" s="5">
        <v>-1.97</v>
      </c>
      <c r="D57" s="5">
        <f t="shared" si="1"/>
        <v>1.97</v>
      </c>
      <c r="E57" s="5" t="s">
        <v>230</v>
      </c>
      <c r="F57" s="5" t="s">
        <v>47</v>
      </c>
    </row>
    <row r="58" spans="1:6" ht="20" x14ac:dyDescent="0.25">
      <c r="A58" s="4">
        <v>45960</v>
      </c>
      <c r="B58" s="66" t="s">
        <v>216</v>
      </c>
      <c r="C58" s="5">
        <v>-6.2</v>
      </c>
      <c r="D58" s="5">
        <f t="shared" si="1"/>
        <v>6.2</v>
      </c>
      <c r="E58" s="5" t="s">
        <v>230</v>
      </c>
      <c r="F58" s="5" t="s">
        <v>47</v>
      </c>
    </row>
    <row r="59" spans="1:6" ht="20" x14ac:dyDescent="0.25">
      <c r="A59" s="4">
        <v>45960</v>
      </c>
      <c r="B59" s="66" t="s">
        <v>217</v>
      </c>
      <c r="C59" s="5">
        <v>-4.1900000000000004</v>
      </c>
      <c r="D59" s="5">
        <f t="shared" si="1"/>
        <v>4.1900000000000004</v>
      </c>
      <c r="E59" s="5" t="s">
        <v>230</v>
      </c>
      <c r="F59" s="5" t="s">
        <v>47</v>
      </c>
    </row>
    <row r="60" spans="1:6" ht="20" x14ac:dyDescent="0.25">
      <c r="A60" s="4">
        <v>45960</v>
      </c>
      <c r="B60" s="66" t="s">
        <v>283</v>
      </c>
      <c r="C60" s="5">
        <v>-28.55</v>
      </c>
      <c r="D60" s="5">
        <f t="shared" si="1"/>
        <v>28.55</v>
      </c>
      <c r="E60" s="5" t="s">
        <v>230</v>
      </c>
      <c r="F60" s="5" t="s">
        <v>47</v>
      </c>
    </row>
    <row r="61" spans="1:6" ht="20" x14ac:dyDescent="0.25">
      <c r="A61" s="4">
        <v>45960</v>
      </c>
      <c r="B61" s="66" t="s">
        <v>218</v>
      </c>
      <c r="C61" s="5">
        <v>-14.44</v>
      </c>
      <c r="D61" s="5">
        <f>-C61/2</f>
        <v>7.22</v>
      </c>
      <c r="E61" s="5" t="s">
        <v>230</v>
      </c>
      <c r="F61" s="5" t="s">
        <v>47</v>
      </c>
    </row>
    <row r="62" spans="1:6" ht="20" x14ac:dyDescent="0.25">
      <c r="A62" s="4">
        <v>45960</v>
      </c>
      <c r="B62" s="66" t="s">
        <v>285</v>
      </c>
      <c r="C62" s="5">
        <v>-35.53</v>
      </c>
      <c r="D62" s="5">
        <f>-C62/2</f>
        <v>17.765000000000001</v>
      </c>
      <c r="E62" s="5" t="s">
        <v>230</v>
      </c>
      <c r="F62" s="5" t="s">
        <v>47</v>
      </c>
    </row>
    <row r="63" spans="1:6" ht="20" x14ac:dyDescent="0.25">
      <c r="A63" s="4">
        <v>45960</v>
      </c>
      <c r="B63" s="66" t="s">
        <v>212</v>
      </c>
      <c r="C63" s="5">
        <v>-10.55</v>
      </c>
      <c r="D63" s="5">
        <f>-C63</f>
        <v>10.55</v>
      </c>
      <c r="E63" s="5" t="s">
        <v>230</v>
      </c>
      <c r="F63" s="5" t="s">
        <v>47</v>
      </c>
    </row>
    <row r="64" spans="1:6" ht="20" x14ac:dyDescent="0.25">
      <c r="A64" s="4">
        <v>45960</v>
      </c>
      <c r="B64" s="5" t="s">
        <v>219</v>
      </c>
      <c r="C64" s="5">
        <v>-0.66</v>
      </c>
      <c r="D64" s="5">
        <f>-C64</f>
        <v>0.66</v>
      </c>
      <c r="E64" s="5" t="s">
        <v>230</v>
      </c>
      <c r="F64" s="5" t="s">
        <v>47</v>
      </c>
    </row>
    <row r="65" spans="1:6" ht="20" x14ac:dyDescent="0.25">
      <c r="A65" s="4">
        <v>45960</v>
      </c>
      <c r="B65" s="66" t="s">
        <v>284</v>
      </c>
      <c r="C65" s="5">
        <v>-189.87</v>
      </c>
      <c r="D65" s="5">
        <f>-C65/2</f>
        <v>94.935000000000002</v>
      </c>
      <c r="E65" s="5" t="s">
        <v>230</v>
      </c>
      <c r="F65" s="5" t="s">
        <v>47</v>
      </c>
    </row>
    <row r="66" spans="1:6" ht="20" x14ac:dyDescent="0.25">
      <c r="A66" s="4">
        <v>45960</v>
      </c>
      <c r="B66" s="66" t="s">
        <v>220</v>
      </c>
      <c r="C66" s="5">
        <v>-42.24</v>
      </c>
      <c r="D66" s="5">
        <f>-C66/2</f>
        <v>21.12</v>
      </c>
      <c r="E66" s="5" t="s">
        <v>230</v>
      </c>
      <c r="F66" s="5" t="s">
        <v>47</v>
      </c>
    </row>
    <row r="67" spans="1:6" ht="20" x14ac:dyDescent="0.25">
      <c r="A67" s="4">
        <v>45960</v>
      </c>
      <c r="B67" s="66" t="s">
        <v>221</v>
      </c>
      <c r="C67" s="5">
        <v>-34.78</v>
      </c>
      <c r="D67" s="5">
        <f>-C67/2</f>
        <v>17.39</v>
      </c>
      <c r="E67" s="5" t="s">
        <v>230</v>
      </c>
      <c r="F67" s="5" t="s">
        <v>47</v>
      </c>
    </row>
    <row r="68" spans="1:6" ht="20" x14ac:dyDescent="0.25">
      <c r="A68" s="4">
        <v>45961</v>
      </c>
      <c r="B68" s="66" t="s">
        <v>210</v>
      </c>
      <c r="C68" s="5">
        <v>-5.38</v>
      </c>
      <c r="D68" s="5">
        <f>-C68/2</f>
        <v>2.69</v>
      </c>
      <c r="E68" s="5" t="s">
        <v>230</v>
      </c>
      <c r="F68" s="5" t="s">
        <v>47</v>
      </c>
    </row>
    <row r="69" spans="1:6" ht="20" x14ac:dyDescent="0.25">
      <c r="A69" s="4">
        <v>45961</v>
      </c>
      <c r="B69" s="66" t="s">
        <v>211</v>
      </c>
      <c r="C69" s="5">
        <v>-50.76</v>
      </c>
      <c r="D69" s="5">
        <f>-C69/2</f>
        <v>25.38</v>
      </c>
      <c r="E69" s="5" t="s">
        <v>230</v>
      </c>
      <c r="F69" s="5" t="s">
        <v>47</v>
      </c>
    </row>
    <row r="70" spans="1:6" ht="20" x14ac:dyDescent="0.25">
      <c r="A70" s="4">
        <v>45961</v>
      </c>
      <c r="B70" s="66" t="s">
        <v>212</v>
      </c>
      <c r="C70" s="5">
        <v>-1.46</v>
      </c>
      <c r="D70" s="5">
        <f>-C70</f>
        <v>1.46</v>
      </c>
      <c r="E70" s="5" t="s">
        <v>230</v>
      </c>
      <c r="F70" s="5" t="s">
        <v>47</v>
      </c>
    </row>
    <row r="71" spans="1:6" ht="20" x14ac:dyDescent="0.25">
      <c r="A71" s="4">
        <v>45961</v>
      </c>
      <c r="B71" s="66" t="s">
        <v>213</v>
      </c>
      <c r="C71" s="5">
        <v>-35.6</v>
      </c>
      <c r="D71" s="5">
        <f>-C71/2</f>
        <v>17.8</v>
      </c>
      <c r="E71" s="5" t="s">
        <v>230</v>
      </c>
      <c r="F71" s="5" t="s">
        <v>47</v>
      </c>
    </row>
    <row r="72" spans="1:6" ht="20" x14ac:dyDescent="0.25">
      <c r="A72" s="4">
        <v>45961</v>
      </c>
      <c r="B72" s="6" t="s">
        <v>214</v>
      </c>
      <c r="C72" s="5">
        <v>-758.77</v>
      </c>
      <c r="D72" s="5">
        <f>(-C72-160)/2</f>
        <v>299.38499999999999</v>
      </c>
      <c r="E72" s="5" t="s">
        <v>230</v>
      </c>
      <c r="F72" s="5" t="s">
        <v>47</v>
      </c>
    </row>
    <row r="73" spans="1:6" ht="20" x14ac:dyDescent="0.25">
      <c r="A73" s="4">
        <v>45961</v>
      </c>
      <c r="B73" s="66" t="s">
        <v>215</v>
      </c>
      <c r="C73" s="5">
        <v>-7.61</v>
      </c>
      <c r="D73" s="5">
        <f>(-C73+2.62)/2</f>
        <v>5.1150000000000002</v>
      </c>
      <c r="E73" s="5" t="s">
        <v>230</v>
      </c>
      <c r="F73" s="5" t="s">
        <v>47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90DC4-A9B1-1942-9A8F-3E9D57D49F8D}">
  <dimension ref="A1:I70"/>
  <sheetViews>
    <sheetView workbookViewId="0">
      <selection sqref="A1:F1"/>
    </sheetView>
  </sheetViews>
  <sheetFormatPr baseColWidth="10" defaultRowHeight="16" x14ac:dyDescent="0.2"/>
  <cols>
    <col min="1" max="1" width="11.1640625" bestFit="1" customWidth="1"/>
    <col min="2" max="2" width="45.5" bestFit="1" customWidth="1"/>
    <col min="3" max="3" width="40.5" hidden="1" customWidth="1"/>
    <col min="4" max="4" width="13.1640625" customWidth="1"/>
    <col min="5" max="5" width="23.1640625" bestFit="1" customWidth="1"/>
    <col min="6" max="6" width="45.5" bestFit="1" customWidth="1"/>
    <col min="8" max="8" width="22.6640625" bestFit="1" customWidth="1"/>
    <col min="9" max="9" width="13.5" bestFit="1" customWidth="1"/>
  </cols>
  <sheetData>
    <row r="1" spans="1:9" ht="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62" t="s">
        <v>4</v>
      </c>
      <c r="I1" s="44" t="s">
        <v>44</v>
      </c>
    </row>
    <row r="2" spans="1:9" ht="20" x14ac:dyDescent="0.25">
      <c r="A2" s="4">
        <v>45962</v>
      </c>
      <c r="B2" s="6" t="s">
        <v>272</v>
      </c>
      <c r="C2" s="5">
        <v>-115.16</v>
      </c>
      <c r="D2" s="5">
        <f>-Nov_25[[#This Row],[Amount]]</f>
        <v>115.16</v>
      </c>
      <c r="E2" s="5" t="s">
        <v>230</v>
      </c>
      <c r="F2" s="5" t="s">
        <v>47</v>
      </c>
      <c r="H2" s="44" t="s">
        <v>16</v>
      </c>
      <c r="I2" s="45">
        <v>30</v>
      </c>
    </row>
    <row r="3" spans="1:9" ht="20" x14ac:dyDescent="0.25">
      <c r="A3" s="4">
        <v>45963</v>
      </c>
      <c r="B3" s="66" t="s">
        <v>271</v>
      </c>
      <c r="C3" s="5">
        <v>-98.72</v>
      </c>
      <c r="D3" s="5">
        <f>-(Nov_25[[#This Row],[Amount]]+2.96)/5</f>
        <v>19.152000000000001</v>
      </c>
      <c r="E3" s="5" t="s">
        <v>230</v>
      </c>
      <c r="F3" s="5" t="s">
        <v>9</v>
      </c>
      <c r="H3" s="44" t="s">
        <v>69</v>
      </c>
      <c r="I3" s="45">
        <v>285.24</v>
      </c>
    </row>
    <row r="4" spans="1:9" ht="20" x14ac:dyDescent="0.25">
      <c r="A4" s="4">
        <v>45964</v>
      </c>
      <c r="B4" s="66" t="s">
        <v>268</v>
      </c>
      <c r="C4" s="5">
        <v>-266.58</v>
      </c>
      <c r="D4" s="5">
        <f>-Nov_25[[#This Row],[Amount]]/2</f>
        <v>133.29</v>
      </c>
      <c r="E4" s="5" t="s">
        <v>230</v>
      </c>
      <c r="F4" s="5" t="s">
        <v>47</v>
      </c>
      <c r="H4" s="44" t="s">
        <v>11</v>
      </c>
      <c r="I4" s="45">
        <v>121.30000000000001</v>
      </c>
    </row>
    <row r="5" spans="1:9" ht="20" x14ac:dyDescent="0.25">
      <c r="A5" s="4">
        <v>45964</v>
      </c>
      <c r="B5" s="5" t="s">
        <v>41</v>
      </c>
      <c r="C5" s="5">
        <v>-1.99</v>
      </c>
      <c r="D5" s="5">
        <f>-Nov_25[[#This Row],[Amount]]</f>
        <v>1.99</v>
      </c>
      <c r="E5" s="5" t="s">
        <v>230</v>
      </c>
      <c r="F5" s="5" t="s">
        <v>47</v>
      </c>
      <c r="H5" s="44" t="s">
        <v>98</v>
      </c>
      <c r="I5" s="45">
        <v>144.01999999999998</v>
      </c>
    </row>
    <row r="6" spans="1:9" ht="20" x14ac:dyDescent="0.25">
      <c r="A6" s="4">
        <v>45964</v>
      </c>
      <c r="B6" s="66" t="s">
        <v>273</v>
      </c>
      <c r="C6" s="5">
        <v>-16.41</v>
      </c>
      <c r="D6" s="5">
        <f>-Nov_25[[#This Row],[Amount]]</f>
        <v>16.41</v>
      </c>
      <c r="E6" s="5" t="s">
        <v>230</v>
      </c>
      <c r="F6" s="5" t="s">
        <v>47</v>
      </c>
      <c r="H6" s="44" t="s">
        <v>65</v>
      </c>
      <c r="I6" s="45">
        <v>10.4</v>
      </c>
    </row>
    <row r="7" spans="1:9" ht="20" x14ac:dyDescent="0.25">
      <c r="A7" s="4">
        <v>45964</v>
      </c>
      <c r="B7" s="5" t="s">
        <v>269</v>
      </c>
      <c r="C7" s="5">
        <v>-6.69</v>
      </c>
      <c r="D7" s="5">
        <f>-Nov_25[[#This Row],[Amount]]</f>
        <v>6.69</v>
      </c>
      <c r="E7" s="5" t="s">
        <v>230</v>
      </c>
      <c r="F7" s="5" t="s">
        <v>47</v>
      </c>
      <c r="H7" s="44" t="s">
        <v>14</v>
      </c>
      <c r="I7" s="45">
        <v>7.92</v>
      </c>
    </row>
    <row r="8" spans="1:9" ht="20" x14ac:dyDescent="0.25">
      <c r="A8" s="4">
        <v>45964</v>
      </c>
      <c r="B8" s="66" t="s">
        <v>253</v>
      </c>
      <c r="C8" s="5">
        <v>-35.11</v>
      </c>
      <c r="D8" s="5">
        <f>-Nov_25[[#This Row],[Amount]]</f>
        <v>35.11</v>
      </c>
      <c r="E8" s="5" t="s">
        <v>230</v>
      </c>
      <c r="F8" s="5" t="s">
        <v>47</v>
      </c>
      <c r="H8" s="44" t="s">
        <v>230</v>
      </c>
      <c r="I8" s="45">
        <v>1481.9600000000005</v>
      </c>
    </row>
    <row r="9" spans="1:9" ht="20" x14ac:dyDescent="0.25">
      <c r="A9" s="4">
        <v>45964</v>
      </c>
      <c r="B9" s="66" t="s">
        <v>218</v>
      </c>
      <c r="C9" s="5">
        <v>-17.059999999999999</v>
      </c>
      <c r="D9" s="5">
        <f>-Nov_25[[#This Row],[Amount]]</f>
        <v>17.059999999999999</v>
      </c>
      <c r="E9" s="5" t="s">
        <v>230</v>
      </c>
      <c r="F9" s="5" t="s">
        <v>47</v>
      </c>
      <c r="H9" s="44" t="s">
        <v>6</v>
      </c>
      <c r="I9" s="45">
        <v>120.76</v>
      </c>
    </row>
    <row r="10" spans="1:9" ht="20" x14ac:dyDescent="0.25">
      <c r="A10" s="4">
        <v>45964</v>
      </c>
      <c r="B10" s="66" t="s">
        <v>270</v>
      </c>
      <c r="C10" s="5">
        <v>-23.63</v>
      </c>
      <c r="D10" s="5">
        <f>-Nov_25[[#This Row],[Amount]]</f>
        <v>23.63</v>
      </c>
      <c r="E10" s="5" t="s">
        <v>230</v>
      </c>
      <c r="F10" s="5" t="s">
        <v>47</v>
      </c>
      <c r="H10" s="44" t="s">
        <v>8</v>
      </c>
      <c r="I10" s="45">
        <v>312.40999999999997</v>
      </c>
    </row>
    <row r="11" spans="1:9" ht="20" x14ac:dyDescent="0.25">
      <c r="A11" s="4">
        <v>45965</v>
      </c>
      <c r="B11" s="66" t="s">
        <v>264</v>
      </c>
      <c r="C11" s="5">
        <v>-4</v>
      </c>
      <c r="D11" s="5">
        <f>-Nov_25[[#This Row],[Amount]]</f>
        <v>4</v>
      </c>
      <c r="E11" s="5" t="s">
        <v>230</v>
      </c>
      <c r="F11" s="5" t="s">
        <v>47</v>
      </c>
      <c r="H11" s="44" t="s">
        <v>39</v>
      </c>
      <c r="I11" s="45">
        <v>2514.0100000000002</v>
      </c>
    </row>
    <row r="12" spans="1:9" ht="20" x14ac:dyDescent="0.25">
      <c r="A12" s="4">
        <v>45965</v>
      </c>
      <c r="B12" s="66" t="s">
        <v>265</v>
      </c>
      <c r="C12" s="5">
        <v>-14.44</v>
      </c>
      <c r="D12" s="5">
        <f>-Nov_25[[#This Row],[Amount]]</f>
        <v>14.44</v>
      </c>
      <c r="E12" s="5" t="s">
        <v>230</v>
      </c>
      <c r="F12" s="5" t="s">
        <v>47</v>
      </c>
    </row>
    <row r="13" spans="1:9" ht="20" x14ac:dyDescent="0.25">
      <c r="A13" s="4">
        <v>45965</v>
      </c>
      <c r="B13" s="6" t="s">
        <v>266</v>
      </c>
      <c r="C13" s="5">
        <v>-232.14</v>
      </c>
      <c r="D13" s="5">
        <f>-Nov_25[[#This Row],[Amount]]</f>
        <v>232.14</v>
      </c>
      <c r="E13" s="5" t="s">
        <v>230</v>
      </c>
      <c r="F13" s="5" t="s">
        <v>47</v>
      </c>
    </row>
    <row r="14" spans="1:9" ht="20" x14ac:dyDescent="0.25">
      <c r="A14" s="4">
        <v>45965</v>
      </c>
      <c r="B14" s="5" t="s">
        <v>267</v>
      </c>
      <c r="C14" s="5">
        <v>-8.2100000000000009</v>
      </c>
      <c r="D14" s="5">
        <f>-Nov_25[[#This Row],[Amount]]</f>
        <v>8.2100000000000009</v>
      </c>
      <c r="E14" s="5" t="s">
        <v>230</v>
      </c>
      <c r="F14" s="5" t="s">
        <v>47</v>
      </c>
    </row>
    <row r="15" spans="1:9" ht="20" x14ac:dyDescent="0.25">
      <c r="A15" s="4">
        <v>45966</v>
      </c>
      <c r="B15" s="5" t="s">
        <v>261</v>
      </c>
      <c r="C15" s="5">
        <v>-6.64</v>
      </c>
      <c r="D15" s="5">
        <f>-Nov_25[[#This Row],[Amount]]</f>
        <v>6.64</v>
      </c>
      <c r="E15" s="5" t="s">
        <v>230</v>
      </c>
      <c r="F15" s="5" t="s">
        <v>47</v>
      </c>
    </row>
    <row r="16" spans="1:9" ht="20" x14ac:dyDescent="0.25">
      <c r="A16" s="4">
        <v>45966</v>
      </c>
      <c r="B16" s="5" t="s">
        <v>262</v>
      </c>
      <c r="C16" s="5">
        <v>-6</v>
      </c>
      <c r="D16" s="5">
        <f>-Nov_25[[#This Row],[Amount]]</f>
        <v>6</v>
      </c>
      <c r="E16" s="5" t="s">
        <v>230</v>
      </c>
      <c r="F16" s="5" t="s">
        <v>47</v>
      </c>
    </row>
    <row r="17" spans="1:6" ht="20" x14ac:dyDescent="0.25">
      <c r="A17" s="4">
        <v>45966</v>
      </c>
      <c r="B17" s="66" t="s">
        <v>263</v>
      </c>
      <c r="C17" s="5">
        <v>-3.33</v>
      </c>
      <c r="D17" s="5">
        <f>-Nov_25[[#This Row],[Amount]]</f>
        <v>3.33</v>
      </c>
      <c r="E17" s="5" t="s">
        <v>230</v>
      </c>
      <c r="F17" s="5" t="s">
        <v>47</v>
      </c>
    </row>
    <row r="18" spans="1:6" ht="20" x14ac:dyDescent="0.25">
      <c r="A18" s="4">
        <v>45966</v>
      </c>
      <c r="B18" s="66" t="s">
        <v>263</v>
      </c>
      <c r="C18" s="5">
        <v>-2.86</v>
      </c>
      <c r="D18" s="5">
        <f>-Nov_25[[#This Row],[Amount]]</f>
        <v>2.86</v>
      </c>
      <c r="E18" s="5" t="s">
        <v>230</v>
      </c>
      <c r="F18" s="5" t="s">
        <v>47</v>
      </c>
    </row>
    <row r="19" spans="1:6" ht="20" x14ac:dyDescent="0.25">
      <c r="A19" s="4">
        <v>45967</v>
      </c>
      <c r="B19" s="66" t="s">
        <v>254</v>
      </c>
      <c r="C19" s="5">
        <v>-1.97</v>
      </c>
      <c r="D19" s="5">
        <f>-Nov_25[[#This Row],[Amount]]</f>
        <v>1.97</v>
      </c>
      <c r="E19" s="5" t="s">
        <v>230</v>
      </c>
      <c r="F19" s="5" t="s">
        <v>170</v>
      </c>
    </row>
    <row r="20" spans="1:6" ht="20" x14ac:dyDescent="0.25">
      <c r="A20" s="4">
        <v>45967</v>
      </c>
      <c r="B20" s="66" t="s">
        <v>257</v>
      </c>
      <c r="C20" s="5">
        <v>-11.89</v>
      </c>
      <c r="D20" s="5">
        <f>-Nov_25[[#This Row],[Amount]]</f>
        <v>11.89</v>
      </c>
      <c r="E20" s="5" t="s">
        <v>230</v>
      </c>
      <c r="F20" s="5" t="s">
        <v>47</v>
      </c>
    </row>
    <row r="21" spans="1:6" ht="20" x14ac:dyDescent="0.25">
      <c r="A21" s="4">
        <v>45967</v>
      </c>
      <c r="B21" s="66" t="s">
        <v>257</v>
      </c>
      <c r="C21" s="5">
        <v>-0.37</v>
      </c>
      <c r="D21" s="5">
        <f>-Nov_25[[#This Row],[Amount]]</f>
        <v>0.37</v>
      </c>
      <c r="E21" s="5" t="s">
        <v>230</v>
      </c>
      <c r="F21" s="5" t="s">
        <v>47</v>
      </c>
    </row>
    <row r="22" spans="1:6" ht="20" x14ac:dyDescent="0.25">
      <c r="A22" s="4">
        <v>45967</v>
      </c>
      <c r="B22" s="66" t="s">
        <v>258</v>
      </c>
      <c r="C22" s="5">
        <v>-4.55</v>
      </c>
      <c r="D22" s="5">
        <f>-Nov_25[[#This Row],[Amount]]</f>
        <v>4.55</v>
      </c>
      <c r="E22" s="5" t="s">
        <v>230</v>
      </c>
      <c r="F22" s="5" t="s">
        <v>47</v>
      </c>
    </row>
    <row r="23" spans="1:6" ht="20" x14ac:dyDescent="0.25">
      <c r="A23" s="4">
        <v>45967</v>
      </c>
      <c r="B23" s="66" t="s">
        <v>286</v>
      </c>
      <c r="C23" s="5">
        <v>-78.599999999999994</v>
      </c>
      <c r="D23" s="5">
        <f>-Nov_25[[#This Row],[Amount]]</f>
        <v>78.599999999999994</v>
      </c>
      <c r="E23" s="5" t="s">
        <v>230</v>
      </c>
      <c r="F23" s="5" t="s">
        <v>47</v>
      </c>
    </row>
    <row r="24" spans="1:6" ht="20" x14ac:dyDescent="0.25">
      <c r="A24" s="4">
        <v>45967</v>
      </c>
      <c r="B24" s="66" t="s">
        <v>257</v>
      </c>
      <c r="C24" s="5">
        <v>-12.26</v>
      </c>
      <c r="D24" s="5">
        <f>-Nov_25[[#This Row],[Amount]]</f>
        <v>12.26</v>
      </c>
      <c r="E24" s="5" t="s">
        <v>230</v>
      </c>
      <c r="F24" s="5" t="s">
        <v>47</v>
      </c>
    </row>
    <row r="25" spans="1:6" ht="20" x14ac:dyDescent="0.25">
      <c r="A25" s="4">
        <v>45967</v>
      </c>
      <c r="B25" s="5" t="s">
        <v>259</v>
      </c>
      <c r="C25" s="5">
        <v>-21.92</v>
      </c>
      <c r="D25" s="5">
        <f>-Nov_25[[#This Row],[Amount]]</f>
        <v>21.92</v>
      </c>
      <c r="E25" s="5" t="s">
        <v>230</v>
      </c>
      <c r="F25" s="5" t="s">
        <v>47</v>
      </c>
    </row>
    <row r="26" spans="1:6" ht="20" x14ac:dyDescent="0.25">
      <c r="A26" s="4">
        <v>45967</v>
      </c>
      <c r="B26" s="66" t="s">
        <v>260</v>
      </c>
      <c r="C26" s="5">
        <v>-7.19</v>
      </c>
      <c r="D26" s="5">
        <f>-Nov_25[[#This Row],[Amount]]</f>
        <v>7.19</v>
      </c>
      <c r="E26" s="5" t="s">
        <v>230</v>
      </c>
      <c r="F26" s="5" t="s">
        <v>47</v>
      </c>
    </row>
    <row r="27" spans="1:6" ht="20" x14ac:dyDescent="0.25">
      <c r="A27" s="4">
        <v>45967</v>
      </c>
      <c r="B27" s="66" t="s">
        <v>257</v>
      </c>
      <c r="C27" s="5">
        <v>-11.89</v>
      </c>
      <c r="D27" s="5">
        <f>-Nov_25[[#This Row],[Amount]]</f>
        <v>11.89</v>
      </c>
      <c r="E27" s="5" t="s">
        <v>230</v>
      </c>
      <c r="F27" s="5" t="s">
        <v>47</v>
      </c>
    </row>
    <row r="28" spans="1:6" ht="20" x14ac:dyDescent="0.25">
      <c r="A28" s="4">
        <v>45967</v>
      </c>
      <c r="B28" s="66" t="s">
        <v>257</v>
      </c>
      <c r="C28" s="5">
        <v>-12.26</v>
      </c>
      <c r="D28" s="5">
        <f>-Nov_25[[#This Row],[Amount]]</f>
        <v>12.26</v>
      </c>
      <c r="E28" s="5" t="s">
        <v>230</v>
      </c>
      <c r="F28" s="5" t="s">
        <v>47</v>
      </c>
    </row>
    <row r="29" spans="1:6" ht="20" x14ac:dyDescent="0.25">
      <c r="A29" s="4">
        <v>45968</v>
      </c>
      <c r="B29" s="66" t="s">
        <v>256</v>
      </c>
      <c r="C29" s="5">
        <v>-14.67</v>
      </c>
      <c r="D29" s="5">
        <f>-Nov_25[[#This Row],[Amount]]</f>
        <v>14.67</v>
      </c>
      <c r="E29" s="5" t="s">
        <v>230</v>
      </c>
      <c r="F29" s="5" t="s">
        <v>47</v>
      </c>
    </row>
    <row r="30" spans="1:6" ht="20" hidden="1" x14ac:dyDescent="0.25">
      <c r="A30" s="4">
        <v>45968</v>
      </c>
      <c r="B30" s="5" t="s">
        <v>15</v>
      </c>
      <c r="C30" s="5">
        <v>-9.99</v>
      </c>
      <c r="D30" s="5">
        <f>-Nov_25[[#This Row],[Amount]]</f>
        <v>9.99</v>
      </c>
      <c r="E30" s="5" t="s">
        <v>8</v>
      </c>
      <c r="F30" s="5" t="s">
        <v>9</v>
      </c>
    </row>
    <row r="31" spans="1:6" ht="20" x14ac:dyDescent="0.25">
      <c r="A31" s="4">
        <v>45969</v>
      </c>
      <c r="B31" s="66" t="s">
        <v>252</v>
      </c>
      <c r="C31" s="5">
        <v>-97.16</v>
      </c>
      <c r="D31" s="5">
        <f>-Nov_25[[#This Row],[Amount]]</f>
        <v>97.16</v>
      </c>
      <c r="E31" s="5" t="s">
        <v>230</v>
      </c>
      <c r="F31" s="5" t="s">
        <v>47</v>
      </c>
    </row>
    <row r="32" spans="1:6" ht="20" x14ac:dyDescent="0.25">
      <c r="A32" s="4">
        <v>45969</v>
      </c>
      <c r="B32" s="66" t="s">
        <v>253</v>
      </c>
      <c r="C32" s="5">
        <v>-21.5</v>
      </c>
      <c r="D32" s="5">
        <f>-Nov_25[[#This Row],[Amount]]</f>
        <v>21.5</v>
      </c>
      <c r="E32" s="5" t="s">
        <v>230</v>
      </c>
      <c r="F32" s="5" t="s">
        <v>47</v>
      </c>
    </row>
    <row r="33" spans="1:6" ht="20" x14ac:dyDescent="0.25">
      <c r="A33" s="4">
        <v>45969</v>
      </c>
      <c r="B33" s="6" t="s">
        <v>254</v>
      </c>
      <c r="C33" s="5">
        <v>-1.97</v>
      </c>
      <c r="D33" s="5">
        <f>-Nov_25[[#This Row],[Amount]]</f>
        <v>1.97</v>
      </c>
      <c r="E33" s="5" t="s">
        <v>230</v>
      </c>
      <c r="F33" s="5" t="s">
        <v>47</v>
      </c>
    </row>
    <row r="34" spans="1:6" ht="20" x14ac:dyDescent="0.25">
      <c r="A34" s="4">
        <v>45969</v>
      </c>
      <c r="B34" s="66" t="s">
        <v>255</v>
      </c>
      <c r="C34" s="5">
        <v>-45.63</v>
      </c>
      <c r="D34" s="5">
        <f>-Nov_25[[#This Row],[Amount]]</f>
        <v>45.63</v>
      </c>
      <c r="E34" s="5" t="s">
        <v>230</v>
      </c>
      <c r="F34" s="5" t="s">
        <v>47</v>
      </c>
    </row>
    <row r="35" spans="1:6" ht="20" x14ac:dyDescent="0.25">
      <c r="A35" s="4">
        <v>45971</v>
      </c>
      <c r="B35" s="5" t="s">
        <v>249</v>
      </c>
      <c r="C35" s="5">
        <v>-89</v>
      </c>
      <c r="D35" s="5">
        <f>-Nov_25[[#This Row],[Amount]]</f>
        <v>89</v>
      </c>
      <c r="E35" s="5" t="s">
        <v>230</v>
      </c>
      <c r="F35" s="5" t="s">
        <v>47</v>
      </c>
    </row>
    <row r="36" spans="1:6" ht="20" x14ac:dyDescent="0.25">
      <c r="A36" s="4">
        <v>45971</v>
      </c>
      <c r="B36" s="66" t="s">
        <v>250</v>
      </c>
      <c r="C36" s="5">
        <v>-3.25</v>
      </c>
      <c r="D36" s="5">
        <f>-Nov_25[[#This Row],[Amount]]+3.25</f>
        <v>6.5</v>
      </c>
      <c r="E36" s="5" t="s">
        <v>230</v>
      </c>
      <c r="F36" s="5" t="s">
        <v>47</v>
      </c>
    </row>
    <row r="37" spans="1:6" ht="20" x14ac:dyDescent="0.25">
      <c r="A37" s="4">
        <v>45971</v>
      </c>
      <c r="B37" s="66" t="s">
        <v>279</v>
      </c>
      <c r="C37" s="5">
        <v>-79.25</v>
      </c>
      <c r="D37" s="5">
        <f>-Nov_25[[#This Row],[Amount]]</f>
        <v>79.25</v>
      </c>
      <c r="E37" s="5" t="s">
        <v>230</v>
      </c>
      <c r="F37" s="5" t="s">
        <v>47</v>
      </c>
    </row>
    <row r="38" spans="1:6" ht="20" x14ac:dyDescent="0.25">
      <c r="A38" s="4">
        <v>45971</v>
      </c>
      <c r="B38" s="6" t="s">
        <v>251</v>
      </c>
      <c r="C38" s="5">
        <v>-62.98</v>
      </c>
      <c r="D38" s="5">
        <f>-Nov_25[[#This Row],[Amount]]</f>
        <v>62.98</v>
      </c>
      <c r="E38" s="5" t="s">
        <v>230</v>
      </c>
      <c r="F38" s="5" t="s">
        <v>47</v>
      </c>
    </row>
    <row r="39" spans="1:6" ht="20" hidden="1" x14ac:dyDescent="0.25">
      <c r="A39" s="4">
        <v>45974</v>
      </c>
      <c r="B39" s="5" t="s">
        <v>208</v>
      </c>
      <c r="C39" s="5">
        <v>-10</v>
      </c>
      <c r="D39" s="5">
        <f>-Nov_25[[#This Row],[Amount]]</f>
        <v>10</v>
      </c>
      <c r="E39" s="5" t="s">
        <v>98</v>
      </c>
      <c r="F39" s="5" t="s">
        <v>113</v>
      </c>
    </row>
    <row r="40" spans="1:6" ht="20" hidden="1" x14ac:dyDescent="0.25">
      <c r="A40" s="4">
        <v>45974</v>
      </c>
      <c r="B40" s="5" t="s">
        <v>248</v>
      </c>
      <c r="C40" s="5">
        <v>-5.5</v>
      </c>
      <c r="D40" s="5">
        <f>-Nov_25[[#This Row],[Amount]]</f>
        <v>5.5</v>
      </c>
      <c r="E40" s="5" t="s">
        <v>65</v>
      </c>
      <c r="F40" s="5" t="s">
        <v>47</v>
      </c>
    </row>
    <row r="41" spans="1:6" ht="20" hidden="1" x14ac:dyDescent="0.25">
      <c r="A41" s="4">
        <v>45974</v>
      </c>
      <c r="B41" s="5" t="s">
        <v>275</v>
      </c>
      <c r="C41" s="5">
        <v>-30</v>
      </c>
      <c r="D41" s="5">
        <f>-Nov_25[[#This Row],[Amount]]</f>
        <v>30</v>
      </c>
      <c r="E41" s="5" t="s">
        <v>16</v>
      </c>
      <c r="F41" s="5" t="s">
        <v>47</v>
      </c>
    </row>
    <row r="42" spans="1:6" ht="20" hidden="1" x14ac:dyDescent="0.25">
      <c r="A42" s="4">
        <v>45975</v>
      </c>
      <c r="B42" s="5" t="s">
        <v>48</v>
      </c>
      <c r="C42" s="5">
        <v>-26.33</v>
      </c>
      <c r="D42" s="5">
        <f>-Nov_25[[#This Row],[Amount]]</f>
        <v>26.33</v>
      </c>
      <c r="E42" s="5" t="s">
        <v>11</v>
      </c>
      <c r="F42" s="5" t="s">
        <v>47</v>
      </c>
    </row>
    <row r="43" spans="1:6" ht="20" hidden="1" x14ac:dyDescent="0.25">
      <c r="A43" s="4">
        <v>45975</v>
      </c>
      <c r="B43" s="5" t="s">
        <v>247</v>
      </c>
      <c r="C43" s="5">
        <v>-4.9000000000000004</v>
      </c>
      <c r="D43" s="5">
        <f>-Nov_25[[#This Row],[Amount]]</f>
        <v>4.9000000000000004</v>
      </c>
      <c r="E43" s="5" t="s">
        <v>65</v>
      </c>
      <c r="F43" s="5" t="s">
        <v>47</v>
      </c>
    </row>
    <row r="44" spans="1:6" ht="20" hidden="1" x14ac:dyDescent="0.25">
      <c r="A44" s="4">
        <v>45976</v>
      </c>
      <c r="B44" s="6" t="s">
        <v>56</v>
      </c>
      <c r="C44" s="5">
        <v>-432.4</v>
      </c>
      <c r="D44" s="5">
        <f>-Nov_25[[#This Row],[Amount]]-380</f>
        <v>52.399999999999977</v>
      </c>
      <c r="E44" s="5" t="s">
        <v>8</v>
      </c>
      <c r="F44" s="5" t="s">
        <v>47</v>
      </c>
    </row>
    <row r="45" spans="1:6" ht="20" hidden="1" x14ac:dyDescent="0.25">
      <c r="A45" s="4">
        <v>45976</v>
      </c>
      <c r="B45" s="5" t="s">
        <v>246</v>
      </c>
      <c r="C45" s="5">
        <v>-17.420000000000002</v>
      </c>
      <c r="D45" s="5">
        <f>-Nov_25[[#This Row],[Amount]]</f>
        <v>17.420000000000002</v>
      </c>
      <c r="E45" s="5" t="s">
        <v>6</v>
      </c>
      <c r="F45" s="5" t="s">
        <v>47</v>
      </c>
    </row>
    <row r="46" spans="1:6" ht="20" hidden="1" x14ac:dyDescent="0.25">
      <c r="A46" s="4">
        <v>45978</v>
      </c>
      <c r="B46" s="5" t="s">
        <v>280</v>
      </c>
      <c r="C46" s="5">
        <v>-61.74</v>
      </c>
      <c r="D46" s="5">
        <f>-Nov_25[[#This Row],[Amount]]</f>
        <v>61.74</v>
      </c>
      <c r="E46" s="5" t="s">
        <v>8</v>
      </c>
      <c r="F46" s="5" t="s">
        <v>21</v>
      </c>
    </row>
    <row r="47" spans="1:6" ht="20" hidden="1" x14ac:dyDescent="0.25">
      <c r="A47" s="4">
        <v>45978</v>
      </c>
      <c r="B47" s="5" t="s">
        <v>80</v>
      </c>
      <c r="C47" s="5">
        <v>-1.99</v>
      </c>
      <c r="D47" s="5">
        <f>-Nov_25[[#This Row],[Amount]]</f>
        <v>1.99</v>
      </c>
      <c r="E47" s="5" t="s">
        <v>8</v>
      </c>
      <c r="F47" s="5" t="s">
        <v>170</v>
      </c>
    </row>
    <row r="48" spans="1:6" ht="20" hidden="1" x14ac:dyDescent="0.25">
      <c r="A48" s="4">
        <v>45978</v>
      </c>
      <c r="B48" s="5" t="s">
        <v>56</v>
      </c>
      <c r="C48" s="5">
        <v>-274.36</v>
      </c>
      <c r="D48" s="5">
        <f>-Nov_25[[#This Row],[Amount]]</f>
        <v>274.36</v>
      </c>
      <c r="E48" s="5" t="s">
        <v>69</v>
      </c>
      <c r="F48" s="5" t="s">
        <v>47</v>
      </c>
    </row>
    <row r="49" spans="1:6" ht="20" hidden="1" x14ac:dyDescent="0.25">
      <c r="A49" s="4">
        <v>45978</v>
      </c>
      <c r="B49" s="5" t="s">
        <v>154</v>
      </c>
      <c r="C49" s="5">
        <v>-41.15</v>
      </c>
      <c r="D49" s="5">
        <f>-Nov_25[[#This Row],[Amount]]</f>
        <v>41.15</v>
      </c>
      <c r="E49" s="5" t="s">
        <v>6</v>
      </c>
      <c r="F49" s="5" t="s">
        <v>47</v>
      </c>
    </row>
    <row r="50" spans="1:6" ht="20" hidden="1" x14ac:dyDescent="0.25">
      <c r="A50" s="4">
        <v>45978</v>
      </c>
      <c r="B50" s="5" t="s">
        <v>274</v>
      </c>
      <c r="C50" s="5">
        <v>-99.99</v>
      </c>
      <c r="D50" s="5">
        <f>-Nov_25[[#This Row],[Amount]]</f>
        <v>99.99</v>
      </c>
      <c r="E50" s="5" t="s">
        <v>8</v>
      </c>
      <c r="F50" s="5" t="s">
        <v>47</v>
      </c>
    </row>
    <row r="51" spans="1:6" ht="20" hidden="1" x14ac:dyDescent="0.25">
      <c r="A51" s="4">
        <v>45979</v>
      </c>
      <c r="B51" s="5" t="s">
        <v>15</v>
      </c>
      <c r="C51" s="5">
        <v>-2.99</v>
      </c>
      <c r="D51" s="5">
        <f>-Nov_25[[#This Row],[Amount]]</f>
        <v>2.99</v>
      </c>
      <c r="E51" s="5" t="s">
        <v>8</v>
      </c>
      <c r="F51" s="5" t="s">
        <v>9</v>
      </c>
    </row>
    <row r="52" spans="1:6" ht="20" hidden="1" x14ac:dyDescent="0.25">
      <c r="A52" s="4">
        <v>45979</v>
      </c>
      <c r="B52" s="5" t="s">
        <v>278</v>
      </c>
      <c r="C52" s="5">
        <v>-104.02</v>
      </c>
      <c r="D52" s="5">
        <f>-Nov_25[[#This Row],[Amount]]</f>
        <v>104.02</v>
      </c>
      <c r="E52" s="5" t="s">
        <v>98</v>
      </c>
      <c r="F52" s="5" t="s">
        <v>113</v>
      </c>
    </row>
    <row r="53" spans="1:6" ht="20" hidden="1" x14ac:dyDescent="0.25">
      <c r="A53" s="4">
        <v>45979</v>
      </c>
      <c r="B53" s="5" t="s">
        <v>48</v>
      </c>
      <c r="C53" s="5">
        <v>-21.21</v>
      </c>
      <c r="D53" s="5">
        <f>-Nov_25[[#This Row],[Amount]]</f>
        <v>21.21</v>
      </c>
      <c r="E53" s="5" t="s">
        <v>11</v>
      </c>
      <c r="F53" s="5" t="s">
        <v>47</v>
      </c>
    </row>
    <row r="54" spans="1:6" ht="20" hidden="1" x14ac:dyDescent="0.25">
      <c r="A54" s="4">
        <v>45979</v>
      </c>
      <c r="B54" s="5" t="s">
        <v>10</v>
      </c>
      <c r="C54" s="5">
        <v>-56.02</v>
      </c>
      <c r="D54" s="5">
        <f>-Nov_25[[#This Row],[Amount]]</f>
        <v>56.02</v>
      </c>
      <c r="E54" s="5" t="s">
        <v>11</v>
      </c>
      <c r="F54" s="5" t="s">
        <v>47</v>
      </c>
    </row>
    <row r="55" spans="1:6" ht="20" hidden="1" x14ac:dyDescent="0.25">
      <c r="A55" s="4">
        <v>45979</v>
      </c>
      <c r="B55" s="5" t="s">
        <v>244</v>
      </c>
      <c r="C55" s="5">
        <v>-11.97</v>
      </c>
      <c r="D55" s="5">
        <f>-Nov_25[[#This Row],[Amount]]</f>
        <v>11.97</v>
      </c>
      <c r="E55" s="5" t="s">
        <v>8</v>
      </c>
      <c r="F55" s="5" t="s">
        <v>47</v>
      </c>
    </row>
    <row r="56" spans="1:6" ht="20" hidden="1" x14ac:dyDescent="0.25">
      <c r="A56" s="4">
        <v>45979</v>
      </c>
      <c r="B56" s="5" t="s">
        <v>245</v>
      </c>
      <c r="C56" s="5">
        <v>-14.45</v>
      </c>
      <c r="D56" s="5">
        <f>-Nov_25[[#This Row],[Amount]]</f>
        <v>14.45</v>
      </c>
      <c r="E56" s="5" t="s">
        <v>11</v>
      </c>
      <c r="F56" s="5" t="s">
        <v>47</v>
      </c>
    </row>
    <row r="57" spans="1:6" ht="20" hidden="1" x14ac:dyDescent="0.25">
      <c r="A57" s="4">
        <v>45980</v>
      </c>
      <c r="B57" s="5" t="s">
        <v>20</v>
      </c>
      <c r="C57" s="5">
        <v>-10.88</v>
      </c>
      <c r="D57" s="5">
        <f>-Nov_25[[#This Row],[Amount]]</f>
        <v>10.88</v>
      </c>
      <c r="E57" s="5" t="s">
        <v>69</v>
      </c>
      <c r="F57" s="5" t="s">
        <v>9</v>
      </c>
    </row>
    <row r="58" spans="1:6" ht="20" hidden="1" x14ac:dyDescent="0.25">
      <c r="A58" s="4">
        <v>45980</v>
      </c>
      <c r="B58" s="5" t="s">
        <v>41</v>
      </c>
      <c r="C58" s="5">
        <v>-4.25</v>
      </c>
      <c r="D58" s="5">
        <f>-Nov_25[[#This Row],[Amount]]+5+5+4.25+5-12.5</f>
        <v>11</v>
      </c>
      <c r="E58" s="5" t="s">
        <v>8</v>
      </c>
      <c r="F58" s="5" t="s">
        <v>47</v>
      </c>
    </row>
    <row r="59" spans="1:6" ht="20" hidden="1" x14ac:dyDescent="0.25">
      <c r="A59" s="4">
        <v>45981</v>
      </c>
      <c r="B59" s="5" t="s">
        <v>228</v>
      </c>
      <c r="C59" s="5">
        <v>-3.29</v>
      </c>
      <c r="D59" s="5">
        <f>-Nov_25[[#This Row],[Amount]]</f>
        <v>3.29</v>
      </c>
      <c r="E59" s="5" t="s">
        <v>11</v>
      </c>
      <c r="F59" s="5" t="s">
        <v>47</v>
      </c>
    </row>
    <row r="60" spans="1:6" ht="20" x14ac:dyDescent="0.25">
      <c r="A60" s="4">
        <v>45981</v>
      </c>
      <c r="B60" s="66" t="s">
        <v>243</v>
      </c>
      <c r="C60" s="5">
        <v>-38.47</v>
      </c>
      <c r="D60" s="5">
        <f>-Nov_25[[#This Row],[Amount]]</f>
        <v>38.47</v>
      </c>
      <c r="E60" s="5" t="s">
        <v>230</v>
      </c>
      <c r="F60" s="5" t="s">
        <v>47</v>
      </c>
    </row>
    <row r="61" spans="1:6" ht="20" hidden="1" x14ac:dyDescent="0.25">
      <c r="A61" s="4">
        <v>45982</v>
      </c>
      <c r="B61" s="5" t="s">
        <v>29</v>
      </c>
      <c r="C61" s="5">
        <v>-31.03</v>
      </c>
      <c r="D61" s="5">
        <f>-Nov_25[[#This Row],[Amount]]</f>
        <v>31.03</v>
      </c>
      <c r="E61" s="5" t="s">
        <v>8</v>
      </c>
      <c r="F61" s="5" t="s">
        <v>47</v>
      </c>
    </row>
    <row r="62" spans="1:6" ht="20" hidden="1" x14ac:dyDescent="0.25">
      <c r="A62" s="4">
        <v>45983</v>
      </c>
      <c r="B62" s="6" t="s">
        <v>200</v>
      </c>
      <c r="C62" s="5">
        <v>-7.92</v>
      </c>
      <c r="D62" s="5">
        <f>-Nov_25[[#This Row],[Amount]]</f>
        <v>7.92</v>
      </c>
      <c r="E62" s="5" t="s">
        <v>14</v>
      </c>
      <c r="F62" s="5" t="s">
        <v>170</v>
      </c>
    </row>
    <row r="63" spans="1:6" ht="20" hidden="1" x14ac:dyDescent="0.25">
      <c r="A63" s="4">
        <v>45984</v>
      </c>
      <c r="B63" s="5" t="s">
        <v>68</v>
      </c>
      <c r="C63" s="5">
        <v>-6.45</v>
      </c>
      <c r="D63" s="5">
        <f>-Nov_25[[#This Row],[Amount]]</f>
        <v>6.45</v>
      </c>
      <c r="E63" s="5" t="s">
        <v>6</v>
      </c>
      <c r="F63" s="5" t="s">
        <v>113</v>
      </c>
    </row>
    <row r="64" spans="1:6" ht="20" hidden="1" x14ac:dyDescent="0.25">
      <c r="A64" s="4">
        <v>45986</v>
      </c>
      <c r="B64" s="5" t="s">
        <v>242</v>
      </c>
      <c r="C64" s="5">
        <v>-16.59</v>
      </c>
      <c r="D64" s="5">
        <f>-Nov_25[[#This Row],[Amount]]</f>
        <v>16.59</v>
      </c>
      <c r="E64" s="5" t="s">
        <v>6</v>
      </c>
      <c r="F64" s="5" t="s">
        <v>113</v>
      </c>
    </row>
    <row r="65" spans="1:6" ht="20" hidden="1" x14ac:dyDescent="0.25">
      <c r="A65" s="4">
        <v>45987</v>
      </c>
      <c r="B65" s="5" t="s">
        <v>72</v>
      </c>
      <c r="C65" s="5">
        <v>-30</v>
      </c>
      <c r="D65" s="5">
        <f>-Nov_25[[#This Row],[Amount]]</f>
        <v>30</v>
      </c>
      <c r="E65" s="5" t="s">
        <v>98</v>
      </c>
      <c r="F65" s="5" t="s">
        <v>47</v>
      </c>
    </row>
    <row r="66" spans="1:6" ht="20" hidden="1" x14ac:dyDescent="0.25">
      <c r="A66" s="4">
        <v>45989</v>
      </c>
      <c r="B66" s="5" t="s">
        <v>277</v>
      </c>
      <c r="C66" s="5">
        <v>-25.32</v>
      </c>
      <c r="D66" s="5">
        <f>-Nov_25[[#This Row],[Amount]]</f>
        <v>25.32</v>
      </c>
      <c r="E66" s="5" t="s">
        <v>8</v>
      </c>
      <c r="F66" s="5" t="s">
        <v>9</v>
      </c>
    </row>
    <row r="67" spans="1:6" ht="20" hidden="1" x14ac:dyDescent="0.25">
      <c r="A67" s="4">
        <v>45989</v>
      </c>
      <c r="B67" s="5" t="s">
        <v>281</v>
      </c>
      <c r="C67" s="5">
        <v>-3.99</v>
      </c>
      <c r="D67" s="5">
        <f>-Nov_25[[#This Row],[Amount]]</f>
        <v>3.99</v>
      </c>
      <c r="E67" s="5" t="s">
        <v>8</v>
      </c>
      <c r="F67" s="5" t="s">
        <v>9</v>
      </c>
    </row>
    <row r="68" spans="1:6" ht="20" hidden="1" x14ac:dyDescent="0.25">
      <c r="A68" s="4">
        <v>45989</v>
      </c>
      <c r="B68" s="5" t="s">
        <v>276</v>
      </c>
      <c r="C68" s="5">
        <v>-13.83</v>
      </c>
      <c r="D68" s="5">
        <f>-Nov_25[[#This Row],[Amount]]</f>
        <v>13.83</v>
      </c>
      <c r="E68" s="5" t="s">
        <v>6</v>
      </c>
      <c r="F68" s="5" t="s">
        <v>21</v>
      </c>
    </row>
    <row r="69" spans="1:6" ht="20" hidden="1" x14ac:dyDescent="0.25">
      <c r="A69" s="4">
        <v>45990</v>
      </c>
      <c r="B69" s="5" t="s">
        <v>240</v>
      </c>
      <c r="C69" s="5">
        <v>-18.309999999999999</v>
      </c>
      <c r="D69" s="5">
        <f>-Nov_25[[#This Row],[Amount]]</f>
        <v>18.309999999999999</v>
      </c>
      <c r="E69" s="5" t="s">
        <v>6</v>
      </c>
      <c r="F69" s="5" t="s">
        <v>113</v>
      </c>
    </row>
    <row r="70" spans="1:6" ht="20" hidden="1" x14ac:dyDescent="0.25">
      <c r="A70" s="4">
        <v>45990</v>
      </c>
      <c r="B70" s="5" t="s">
        <v>241</v>
      </c>
      <c r="C70" s="5">
        <v>-7.01</v>
      </c>
      <c r="D70" s="5">
        <f>-Nov_25[[#This Row],[Amount]]</f>
        <v>7.01</v>
      </c>
      <c r="E70" s="5" t="s">
        <v>6</v>
      </c>
      <c r="F70" s="5" t="s">
        <v>113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9D51-97EE-BE44-A2F7-B95C3D13B8E2}">
  <dimension ref="A1:J65"/>
  <sheetViews>
    <sheetView tabSelected="1" workbookViewId="0">
      <selection activeCell="E54" sqref="E54"/>
    </sheetView>
  </sheetViews>
  <sheetFormatPr baseColWidth="10" defaultRowHeight="20" x14ac:dyDescent="0.25"/>
  <cols>
    <col min="1" max="1" width="11.1640625" bestFit="1" customWidth="1"/>
    <col min="2" max="2" width="38" bestFit="1" customWidth="1"/>
    <col min="3" max="3" width="38" hidden="1" customWidth="1"/>
    <col min="4" max="4" width="45.5" hidden="1" customWidth="1"/>
    <col min="5" max="5" width="12.5" bestFit="1" customWidth="1"/>
    <col min="6" max="6" width="24.5" style="5" bestFit="1" customWidth="1"/>
    <col min="7" max="7" width="45.5" bestFit="1" customWidth="1"/>
    <col min="8" max="8" width="18.1640625" customWidth="1"/>
    <col min="9" max="9" width="15.6640625" bestFit="1" customWidth="1"/>
    <col min="10" max="10" width="13.5" bestFit="1" customWidth="1"/>
  </cols>
  <sheetData>
    <row r="1" spans="1:10" x14ac:dyDescent="0.25">
      <c r="A1" s="1" t="s">
        <v>0</v>
      </c>
      <c r="B1" s="2" t="s">
        <v>1</v>
      </c>
      <c r="C1" s="2" t="s">
        <v>3</v>
      </c>
      <c r="D1" s="3" t="s">
        <v>2</v>
      </c>
      <c r="E1" s="2" t="s">
        <v>312</v>
      </c>
      <c r="F1" s="2" t="s">
        <v>4</v>
      </c>
      <c r="G1" s="3" t="s">
        <v>5</v>
      </c>
      <c r="H1" s="5"/>
      <c r="I1" s="68" t="s">
        <v>4</v>
      </c>
      <c r="J1" s="68" t="s">
        <v>44</v>
      </c>
    </row>
    <row r="2" spans="1:10" x14ac:dyDescent="0.25">
      <c r="A2" s="4">
        <v>45992</v>
      </c>
      <c r="B2" s="5" t="s">
        <v>110</v>
      </c>
      <c r="C2" s="5" t="s">
        <v>110</v>
      </c>
      <c r="D2" s="5">
        <v>-106.71</v>
      </c>
      <c r="E2" s="5">
        <f>-Table11[[#This Row],[Amount]]</f>
        <v>106.71</v>
      </c>
      <c r="F2" s="5" t="s">
        <v>14</v>
      </c>
      <c r="G2" s="5" t="s">
        <v>170</v>
      </c>
      <c r="I2" s="29" t="s">
        <v>16</v>
      </c>
      <c r="J2" s="33">
        <v>34</v>
      </c>
    </row>
    <row r="3" spans="1:10" x14ac:dyDescent="0.25">
      <c r="A3" s="4">
        <v>45992</v>
      </c>
      <c r="B3" s="5" t="s">
        <v>305</v>
      </c>
      <c r="C3" s="5" t="s">
        <v>305</v>
      </c>
      <c r="D3" s="5">
        <v>-66</v>
      </c>
      <c r="E3" s="5">
        <f>-Table11[[#This Row],[Amount]]</f>
        <v>66</v>
      </c>
      <c r="F3" s="5" t="s">
        <v>313</v>
      </c>
      <c r="G3" s="5" t="s">
        <v>9</v>
      </c>
      <c r="I3" s="29" t="s">
        <v>11</v>
      </c>
      <c r="J3" s="33">
        <v>79.23</v>
      </c>
    </row>
    <row r="4" spans="1:10" x14ac:dyDescent="0.25">
      <c r="A4" s="4">
        <v>45992</v>
      </c>
      <c r="B4" s="5" t="s">
        <v>306</v>
      </c>
      <c r="C4" s="5" t="s">
        <v>306</v>
      </c>
      <c r="D4" s="5">
        <v>-14.01</v>
      </c>
      <c r="E4" s="5">
        <f>-Table11[[#This Row],[Amount]]</f>
        <v>14.01</v>
      </c>
      <c r="F4" s="5" t="s">
        <v>6</v>
      </c>
      <c r="G4" s="5" t="s">
        <v>113</v>
      </c>
      <c r="I4" s="29" t="s">
        <v>98</v>
      </c>
      <c r="J4" s="33">
        <v>3414.7999999999997</v>
      </c>
    </row>
    <row r="5" spans="1:10" x14ac:dyDescent="0.25">
      <c r="A5" s="4">
        <v>45992</v>
      </c>
      <c r="B5" s="5" t="s">
        <v>307</v>
      </c>
      <c r="C5" s="5" t="s">
        <v>307</v>
      </c>
      <c r="D5" s="5">
        <v>-5.39</v>
      </c>
      <c r="E5" s="5">
        <f>-Table11[[#This Row],[Amount]]</f>
        <v>5.39</v>
      </c>
      <c r="F5" s="5" t="s">
        <v>313</v>
      </c>
      <c r="G5" s="5" t="s">
        <v>47</v>
      </c>
      <c r="I5" s="29" t="s">
        <v>14</v>
      </c>
      <c r="J5" s="33">
        <v>114.71</v>
      </c>
    </row>
    <row r="6" spans="1:10" x14ac:dyDescent="0.25">
      <c r="A6" s="4">
        <v>45992</v>
      </c>
      <c r="B6" s="5" t="s">
        <v>308</v>
      </c>
      <c r="C6" s="5" t="s">
        <v>308</v>
      </c>
      <c r="D6" s="5">
        <v>-3.23</v>
      </c>
      <c r="E6" s="5">
        <f>-Table11[[#This Row],[Amount]]</f>
        <v>3.23</v>
      </c>
      <c r="F6" s="5" t="s">
        <v>313</v>
      </c>
      <c r="G6" s="5" t="s">
        <v>47</v>
      </c>
      <c r="I6" s="29" t="s">
        <v>8</v>
      </c>
      <c r="J6" s="33">
        <v>389.29000000000008</v>
      </c>
    </row>
    <row r="7" spans="1:10" x14ac:dyDescent="0.25">
      <c r="A7" s="4">
        <v>45992</v>
      </c>
      <c r="B7" s="5" t="s">
        <v>309</v>
      </c>
      <c r="C7" s="5" t="s">
        <v>309</v>
      </c>
      <c r="D7" s="5">
        <v>-101.22</v>
      </c>
      <c r="E7" s="5">
        <f>-Table11[[#This Row],[Amount]]</f>
        <v>101.22</v>
      </c>
      <c r="F7" s="5" t="s">
        <v>313</v>
      </c>
      <c r="G7" s="5" t="s">
        <v>47</v>
      </c>
      <c r="I7" s="29" t="s">
        <v>6</v>
      </c>
      <c r="J7" s="33">
        <v>241.75999999999993</v>
      </c>
    </row>
    <row r="8" spans="1:10" x14ac:dyDescent="0.25">
      <c r="A8" s="4">
        <v>45992</v>
      </c>
      <c r="B8" s="5" t="s">
        <v>310</v>
      </c>
      <c r="C8" s="5" t="s">
        <v>310</v>
      </c>
      <c r="D8" s="5">
        <v>-40.28</v>
      </c>
      <c r="E8" s="5">
        <f>-Table11[[#This Row],[Amount]]</f>
        <v>40.28</v>
      </c>
      <c r="F8" s="5" t="s">
        <v>8</v>
      </c>
      <c r="G8" s="5" t="s">
        <v>47</v>
      </c>
      <c r="I8" s="29" t="s">
        <v>13</v>
      </c>
      <c r="J8" s="33">
        <v>222.98999999999998</v>
      </c>
    </row>
    <row r="9" spans="1:10" x14ac:dyDescent="0.25">
      <c r="A9" s="4">
        <v>45992</v>
      </c>
      <c r="B9" s="5" t="s">
        <v>316</v>
      </c>
      <c r="C9" s="5" t="s">
        <v>311</v>
      </c>
      <c r="D9" s="5">
        <v>-184.04</v>
      </c>
      <c r="E9" s="5">
        <f>-Table11[[#This Row],[Amount]]</f>
        <v>184.04</v>
      </c>
      <c r="F9" s="5" t="s">
        <v>8</v>
      </c>
      <c r="G9" s="5" t="s">
        <v>47</v>
      </c>
      <c r="I9" s="29" t="s">
        <v>313</v>
      </c>
      <c r="J9" s="33">
        <v>175.84</v>
      </c>
    </row>
    <row r="10" spans="1:10" x14ac:dyDescent="0.25">
      <c r="A10" s="4">
        <v>45992</v>
      </c>
      <c r="B10" s="5" t="s">
        <v>308</v>
      </c>
      <c r="C10" s="5" t="s">
        <v>308</v>
      </c>
      <c r="D10" s="5">
        <v>-7.81</v>
      </c>
      <c r="E10" s="5">
        <f>-Table11[[#This Row],[Amount]]</f>
        <v>7.81</v>
      </c>
      <c r="F10" s="5" t="s">
        <v>8</v>
      </c>
      <c r="G10" s="5" t="s">
        <v>47</v>
      </c>
      <c r="I10" s="29" t="s">
        <v>230</v>
      </c>
      <c r="J10" s="33">
        <v>86.685000000000002</v>
      </c>
    </row>
    <row r="11" spans="1:10" x14ac:dyDescent="0.25">
      <c r="A11" s="4">
        <v>45994</v>
      </c>
      <c r="B11" s="5" t="s">
        <v>247</v>
      </c>
      <c r="C11" s="5" t="s">
        <v>247</v>
      </c>
      <c r="D11" s="5">
        <v>-5.71</v>
      </c>
      <c r="E11" s="5">
        <f>-Table11[[#This Row],[Amount]]</f>
        <v>5.71</v>
      </c>
      <c r="F11" s="5" t="s">
        <v>6</v>
      </c>
      <c r="G11" s="5" t="s">
        <v>113</v>
      </c>
      <c r="I11" s="69" t="s">
        <v>39</v>
      </c>
      <c r="J11" s="70">
        <v>4759.3050000000003</v>
      </c>
    </row>
    <row r="12" spans="1:10" x14ac:dyDescent="0.25">
      <c r="A12" s="4">
        <v>45994</v>
      </c>
      <c r="B12" s="5" t="s">
        <v>196</v>
      </c>
      <c r="C12" s="5" t="s">
        <v>196</v>
      </c>
      <c r="D12" s="5">
        <v>-4.53</v>
      </c>
      <c r="E12" s="5">
        <f>-Table11[[#This Row],[Amount]]</f>
        <v>4.53</v>
      </c>
      <c r="F12" s="5" t="s">
        <v>6</v>
      </c>
      <c r="G12" s="5" t="s">
        <v>113</v>
      </c>
    </row>
    <row r="13" spans="1:10" x14ac:dyDescent="0.25">
      <c r="A13" s="4">
        <v>45995</v>
      </c>
      <c r="B13" s="5" t="s">
        <v>36</v>
      </c>
      <c r="C13" s="5" t="s">
        <v>36</v>
      </c>
      <c r="D13" s="5">
        <v>-12.36</v>
      </c>
      <c r="E13" s="5">
        <f>-Table11[[#This Row],[Amount]]</f>
        <v>12.36</v>
      </c>
      <c r="F13" s="5" t="s">
        <v>6</v>
      </c>
      <c r="G13" s="5" t="s">
        <v>113</v>
      </c>
    </row>
    <row r="14" spans="1:10" x14ac:dyDescent="0.25">
      <c r="A14" s="4">
        <v>45995</v>
      </c>
      <c r="B14" s="5" t="s">
        <v>48</v>
      </c>
      <c r="C14" s="5" t="s">
        <v>48</v>
      </c>
      <c r="D14" s="5">
        <v>-22.79</v>
      </c>
      <c r="E14" s="5">
        <f>-Table11[[#This Row],[Amount]]</f>
        <v>22.79</v>
      </c>
      <c r="F14" s="5" t="s">
        <v>11</v>
      </c>
      <c r="G14" s="5" t="s">
        <v>47</v>
      </c>
    </row>
    <row r="15" spans="1:10" x14ac:dyDescent="0.25">
      <c r="A15" s="4">
        <v>45995</v>
      </c>
      <c r="B15" s="5" t="s">
        <v>48</v>
      </c>
      <c r="C15" s="5" t="s">
        <v>48</v>
      </c>
      <c r="D15" s="5">
        <v>-2.29</v>
      </c>
      <c r="E15" s="5">
        <f>-Table11[[#This Row],[Amount]]</f>
        <v>2.29</v>
      </c>
      <c r="F15" s="5" t="s">
        <v>11</v>
      </c>
      <c r="G15" s="5" t="s">
        <v>47</v>
      </c>
    </row>
    <row r="16" spans="1:10" x14ac:dyDescent="0.25">
      <c r="A16" s="4">
        <v>45996</v>
      </c>
      <c r="B16" s="5" t="s">
        <v>303</v>
      </c>
      <c r="C16" s="5" t="s">
        <v>303</v>
      </c>
      <c r="D16" s="5">
        <v>-34</v>
      </c>
      <c r="E16" s="5">
        <f>-Table11[[#This Row],[Amount]]</f>
        <v>34</v>
      </c>
      <c r="F16" s="5" t="s">
        <v>16</v>
      </c>
      <c r="G16" s="5" t="s">
        <v>9</v>
      </c>
    </row>
    <row r="17" spans="1:7" x14ac:dyDescent="0.25">
      <c r="A17" s="4">
        <v>45996</v>
      </c>
      <c r="B17" s="5" t="s">
        <v>23</v>
      </c>
      <c r="C17" s="5" t="s">
        <v>23</v>
      </c>
      <c r="D17" s="5">
        <v>-30.47</v>
      </c>
      <c r="E17" s="5">
        <f>-Table11[[#This Row],[Amount]]</f>
        <v>30.47</v>
      </c>
      <c r="F17" s="5" t="s">
        <v>13</v>
      </c>
      <c r="G17" s="5" t="s">
        <v>9</v>
      </c>
    </row>
    <row r="18" spans="1:7" x14ac:dyDescent="0.25">
      <c r="A18" s="4">
        <v>45996</v>
      </c>
      <c r="B18" s="5" t="s">
        <v>30</v>
      </c>
      <c r="C18" s="5" t="s">
        <v>30</v>
      </c>
      <c r="D18" s="5">
        <v>-15.9</v>
      </c>
      <c r="E18" s="5">
        <f>-Table11[[#This Row],[Amount]]</f>
        <v>15.9</v>
      </c>
      <c r="F18" s="5" t="s">
        <v>11</v>
      </c>
      <c r="G18" s="5" t="s">
        <v>21</v>
      </c>
    </row>
    <row r="19" spans="1:7" x14ac:dyDescent="0.25">
      <c r="A19" s="4">
        <v>45996</v>
      </c>
      <c r="B19" s="5" t="s">
        <v>10</v>
      </c>
      <c r="C19" s="5" t="s">
        <v>10</v>
      </c>
      <c r="D19" s="5">
        <v>-20.62</v>
      </c>
      <c r="E19" s="5">
        <f>-Table11[[#This Row],[Amount]]</f>
        <v>20.62</v>
      </c>
      <c r="F19" s="5" t="s">
        <v>11</v>
      </c>
      <c r="G19" s="5" t="s">
        <v>47</v>
      </c>
    </row>
    <row r="20" spans="1:7" x14ac:dyDescent="0.25">
      <c r="A20" s="4">
        <v>45996</v>
      </c>
      <c r="B20" s="5" t="s">
        <v>304</v>
      </c>
      <c r="C20" s="5" t="s">
        <v>304</v>
      </c>
      <c r="D20" s="5">
        <v>-80.540000000000006</v>
      </c>
      <c r="E20" s="5">
        <f>-Table11[[#This Row],[Amount]]</f>
        <v>80.540000000000006</v>
      </c>
      <c r="F20" s="5" t="s">
        <v>8</v>
      </c>
      <c r="G20" s="5" t="s">
        <v>47</v>
      </c>
    </row>
    <row r="21" spans="1:7" x14ac:dyDescent="0.25">
      <c r="A21" s="4">
        <v>45998</v>
      </c>
      <c r="B21" s="5" t="s">
        <v>15</v>
      </c>
      <c r="C21" s="5" t="s">
        <v>15</v>
      </c>
      <c r="D21" s="5">
        <v>-9.99</v>
      </c>
      <c r="E21" s="5">
        <f>-Table11[[#This Row],[Amount]]</f>
        <v>9.99</v>
      </c>
      <c r="F21" s="5" t="s">
        <v>8</v>
      </c>
      <c r="G21" s="5" t="s">
        <v>9</v>
      </c>
    </row>
    <row r="22" spans="1:7" x14ac:dyDescent="0.25">
      <c r="A22" s="4">
        <v>45999</v>
      </c>
      <c r="B22" s="5" t="s">
        <v>20</v>
      </c>
      <c r="C22" s="5" t="s">
        <v>20</v>
      </c>
      <c r="D22" s="5">
        <v>-29.37</v>
      </c>
      <c r="E22" s="5">
        <f>-Table11[[#This Row],[Amount]]</f>
        <v>29.37</v>
      </c>
      <c r="F22" s="5" t="s">
        <v>13</v>
      </c>
      <c r="G22" s="5" t="s">
        <v>9</v>
      </c>
    </row>
    <row r="23" spans="1:7" x14ac:dyDescent="0.25">
      <c r="A23" s="4">
        <v>45999</v>
      </c>
      <c r="B23" s="5" t="s">
        <v>302</v>
      </c>
      <c r="C23" s="5" t="s">
        <v>302</v>
      </c>
      <c r="D23" s="5">
        <v>-50</v>
      </c>
      <c r="E23" s="5">
        <f>-Table11[[#This Row],[Amount]]-35</f>
        <v>15</v>
      </c>
      <c r="F23" s="5" t="s">
        <v>6</v>
      </c>
      <c r="G23" s="5" t="s">
        <v>47</v>
      </c>
    </row>
    <row r="24" spans="1:7" x14ac:dyDescent="0.25">
      <c r="A24" s="4">
        <v>46000</v>
      </c>
      <c r="B24" s="5" t="s">
        <v>300</v>
      </c>
      <c r="C24" s="5" t="s">
        <v>300</v>
      </c>
      <c r="D24" s="5">
        <v>-9.91</v>
      </c>
      <c r="E24" s="5">
        <f>-Table11[[#This Row],[Amount]]</f>
        <v>9.91</v>
      </c>
      <c r="F24" s="5" t="s">
        <v>6</v>
      </c>
      <c r="G24" s="5" t="s">
        <v>170</v>
      </c>
    </row>
    <row r="25" spans="1:7" x14ac:dyDescent="0.25">
      <c r="A25" s="4">
        <v>46000</v>
      </c>
      <c r="B25" s="5" t="s">
        <v>197</v>
      </c>
      <c r="C25" s="5" t="s">
        <v>197</v>
      </c>
      <c r="D25" s="5">
        <v>-11.05</v>
      </c>
      <c r="E25" s="5">
        <f>-Table11[[#This Row],[Amount]]</f>
        <v>11.05</v>
      </c>
      <c r="F25" s="5" t="s">
        <v>6</v>
      </c>
      <c r="G25" s="5" t="s">
        <v>113</v>
      </c>
    </row>
    <row r="26" spans="1:7" x14ac:dyDescent="0.25">
      <c r="A26" s="4">
        <v>46000</v>
      </c>
      <c r="B26" s="5" t="s">
        <v>20</v>
      </c>
      <c r="C26" s="5" t="s">
        <v>20</v>
      </c>
      <c r="D26" s="5">
        <v>-36.049999999999997</v>
      </c>
      <c r="E26" s="5">
        <f>-Table11[[#This Row],[Amount]]</f>
        <v>36.049999999999997</v>
      </c>
      <c r="F26" s="5" t="s">
        <v>13</v>
      </c>
      <c r="G26" s="5" t="s">
        <v>9</v>
      </c>
    </row>
    <row r="27" spans="1:7" x14ac:dyDescent="0.25">
      <c r="A27" s="4">
        <v>46000</v>
      </c>
      <c r="B27" s="5" t="s">
        <v>301</v>
      </c>
      <c r="C27" s="5" t="s">
        <v>301</v>
      </c>
      <c r="D27" s="5">
        <v>-5.17</v>
      </c>
      <c r="E27" s="5">
        <f>-Table11[[#This Row],[Amount]]</f>
        <v>5.17</v>
      </c>
      <c r="F27" s="5" t="s">
        <v>6</v>
      </c>
      <c r="G27" s="5" t="s">
        <v>47</v>
      </c>
    </row>
    <row r="28" spans="1:7" x14ac:dyDescent="0.25">
      <c r="A28" s="4">
        <v>46000</v>
      </c>
      <c r="B28" s="5" t="s">
        <v>165</v>
      </c>
      <c r="C28" s="5" t="s">
        <v>165</v>
      </c>
      <c r="D28" s="5">
        <v>-1.55</v>
      </c>
      <c r="E28" s="5">
        <f>-Table11[[#This Row],[Amount]]</f>
        <v>1.55</v>
      </c>
      <c r="F28" s="5" t="s">
        <v>6</v>
      </c>
      <c r="G28" s="5" t="s">
        <v>47</v>
      </c>
    </row>
    <row r="29" spans="1:7" x14ac:dyDescent="0.25">
      <c r="A29" s="4">
        <v>46001</v>
      </c>
      <c r="B29" s="5" t="s">
        <v>315</v>
      </c>
      <c r="C29" s="5" t="s">
        <v>299</v>
      </c>
      <c r="D29" s="5">
        <v>-14.81</v>
      </c>
      <c r="E29" s="5">
        <f>-Table11[[#This Row],[Amount]]</f>
        <v>14.81</v>
      </c>
      <c r="F29" s="5" t="s">
        <v>13</v>
      </c>
      <c r="G29" s="5" t="s">
        <v>113</v>
      </c>
    </row>
    <row r="30" spans="1:7" x14ac:dyDescent="0.25">
      <c r="A30" s="4">
        <v>46002</v>
      </c>
      <c r="B30" s="5" t="s">
        <v>41</v>
      </c>
      <c r="C30" s="5" t="s">
        <v>157</v>
      </c>
      <c r="D30" s="5">
        <v>-5</v>
      </c>
      <c r="E30" s="5">
        <f>-Table11[[#This Row],[Amount]]</f>
        <v>5</v>
      </c>
      <c r="F30" s="5" t="s">
        <v>8</v>
      </c>
      <c r="G30" s="5" t="s">
        <v>47</v>
      </c>
    </row>
    <row r="31" spans="1:7" x14ac:dyDescent="0.25">
      <c r="A31" s="4">
        <v>46002</v>
      </c>
      <c r="B31" s="5" t="s">
        <v>298</v>
      </c>
      <c r="C31" s="5" t="s">
        <v>298</v>
      </c>
      <c r="D31" s="5">
        <v>-40.72</v>
      </c>
      <c r="E31" s="5">
        <f>-Table11[[#This Row],[Amount]]/4</f>
        <v>10.18</v>
      </c>
      <c r="F31" s="5" t="s">
        <v>6</v>
      </c>
      <c r="G31" s="5" t="s">
        <v>47</v>
      </c>
    </row>
    <row r="32" spans="1:7" x14ac:dyDescent="0.25">
      <c r="A32" s="4">
        <v>46003</v>
      </c>
      <c r="B32" s="5" t="s">
        <v>168</v>
      </c>
      <c r="C32" s="5" t="s">
        <v>168</v>
      </c>
      <c r="D32" s="5">
        <v>-17.66</v>
      </c>
      <c r="E32" s="5">
        <f>-Table11[[#This Row],[Amount]]</f>
        <v>17.66</v>
      </c>
      <c r="F32" s="5" t="s">
        <v>8</v>
      </c>
      <c r="G32" s="5" t="s">
        <v>9</v>
      </c>
    </row>
    <row r="33" spans="1:7" x14ac:dyDescent="0.25">
      <c r="A33" s="4">
        <v>46003</v>
      </c>
      <c r="B33" s="5" t="s">
        <v>296</v>
      </c>
      <c r="C33" s="5" t="s">
        <v>296</v>
      </c>
      <c r="D33" s="5">
        <v>-34.549999999999997</v>
      </c>
      <c r="E33" s="5">
        <f>-Table11[[#This Row],[Amount]]</f>
        <v>34.549999999999997</v>
      </c>
      <c r="F33" s="5" t="s">
        <v>6</v>
      </c>
      <c r="G33" s="5" t="s">
        <v>47</v>
      </c>
    </row>
    <row r="34" spans="1:7" x14ac:dyDescent="0.25">
      <c r="A34" s="4">
        <v>46006</v>
      </c>
      <c r="B34" s="5" t="s">
        <v>23</v>
      </c>
      <c r="C34" s="5" t="s">
        <v>23</v>
      </c>
      <c r="D34" s="5">
        <v>-3.19</v>
      </c>
      <c r="E34" s="5">
        <f>-Table11[[#This Row],[Amount]]</f>
        <v>3.19</v>
      </c>
      <c r="F34" s="5" t="s">
        <v>13</v>
      </c>
      <c r="G34" s="5" t="s">
        <v>9</v>
      </c>
    </row>
    <row r="35" spans="1:7" x14ac:dyDescent="0.25">
      <c r="A35" s="4">
        <v>46006</v>
      </c>
      <c r="B35" s="5" t="s">
        <v>75</v>
      </c>
      <c r="C35" s="5" t="s">
        <v>75</v>
      </c>
      <c r="D35" s="5">
        <v>-4.2300000000000004</v>
      </c>
      <c r="E35" s="5">
        <f>-Table11[[#This Row],[Amount]]</f>
        <v>4.2300000000000004</v>
      </c>
      <c r="F35" s="5" t="s">
        <v>11</v>
      </c>
      <c r="G35" s="5" t="s">
        <v>47</v>
      </c>
    </row>
    <row r="36" spans="1:7" x14ac:dyDescent="0.25">
      <c r="A36" s="4">
        <v>46006</v>
      </c>
      <c r="B36" s="5" t="s">
        <v>75</v>
      </c>
      <c r="C36" s="5" t="s">
        <v>75</v>
      </c>
      <c r="D36" s="5">
        <v>-4.2300000000000004</v>
      </c>
      <c r="E36" s="5">
        <f>-Table11[[#This Row],[Amount]]</f>
        <v>4.2300000000000004</v>
      </c>
      <c r="F36" s="5" t="s">
        <v>11</v>
      </c>
      <c r="G36" s="5" t="s">
        <v>47</v>
      </c>
    </row>
    <row r="37" spans="1:7" x14ac:dyDescent="0.25">
      <c r="A37" s="4">
        <v>46006</v>
      </c>
      <c r="B37" s="5" t="s">
        <v>297</v>
      </c>
      <c r="C37" s="5" t="s">
        <v>297</v>
      </c>
      <c r="D37" s="5">
        <v>-24.79</v>
      </c>
      <c r="E37" s="5">
        <f>-Table11[[#This Row],[Amount]]</f>
        <v>24.79</v>
      </c>
      <c r="F37" s="5" t="s">
        <v>6</v>
      </c>
      <c r="G37" s="5" t="s">
        <v>47</v>
      </c>
    </row>
    <row r="38" spans="1:7" x14ac:dyDescent="0.25">
      <c r="A38" s="4">
        <v>46007</v>
      </c>
      <c r="B38" s="5" t="s">
        <v>295</v>
      </c>
      <c r="C38" s="5" t="s">
        <v>295</v>
      </c>
      <c r="D38" s="5">
        <v>-4.1100000000000003</v>
      </c>
      <c r="E38" s="5">
        <f>-Table11[[#This Row],[Amount]]</f>
        <v>4.1100000000000003</v>
      </c>
      <c r="F38" s="5" t="s">
        <v>11</v>
      </c>
      <c r="G38" s="5" t="s">
        <v>170</v>
      </c>
    </row>
    <row r="39" spans="1:7" x14ac:dyDescent="0.25">
      <c r="A39" s="4">
        <v>46007</v>
      </c>
      <c r="B39" s="5" t="s">
        <v>295</v>
      </c>
      <c r="C39" s="5" t="s">
        <v>295</v>
      </c>
      <c r="D39" s="5">
        <v>-5.0599999999999996</v>
      </c>
      <c r="E39" s="5">
        <f>-Table11[[#This Row],[Amount]]</f>
        <v>5.0599999999999996</v>
      </c>
      <c r="F39" s="5" t="s">
        <v>11</v>
      </c>
      <c r="G39" s="5" t="s">
        <v>170</v>
      </c>
    </row>
    <row r="40" spans="1:7" x14ac:dyDescent="0.25">
      <c r="A40" s="4">
        <v>46007</v>
      </c>
      <c r="B40" s="5" t="s">
        <v>296</v>
      </c>
      <c r="C40" s="5" t="s">
        <v>296</v>
      </c>
      <c r="D40" s="5">
        <v>-16.23</v>
      </c>
      <c r="E40" s="5">
        <f>-Table11[[#This Row],[Amount]]</f>
        <v>16.23</v>
      </c>
      <c r="F40" s="5" t="s">
        <v>6</v>
      </c>
      <c r="G40" s="5" t="s">
        <v>47</v>
      </c>
    </row>
    <row r="41" spans="1:7" x14ac:dyDescent="0.25">
      <c r="A41" s="4">
        <v>46008</v>
      </c>
      <c r="B41" s="5" t="s">
        <v>80</v>
      </c>
      <c r="C41" s="5" t="s">
        <v>80</v>
      </c>
      <c r="D41" s="5">
        <v>-1.99</v>
      </c>
      <c r="E41" s="5">
        <f>-Table11[[#This Row],[Amount]]</f>
        <v>1.99</v>
      </c>
      <c r="F41" s="5" t="s">
        <v>8</v>
      </c>
      <c r="G41" s="5" t="s">
        <v>170</v>
      </c>
    </row>
    <row r="42" spans="1:7" x14ac:dyDescent="0.25">
      <c r="A42" s="4">
        <v>46009</v>
      </c>
      <c r="B42" s="5" t="s">
        <v>15</v>
      </c>
      <c r="C42" s="5" t="s">
        <v>15</v>
      </c>
      <c r="D42" s="5">
        <v>-2.99</v>
      </c>
      <c r="E42" s="5">
        <f>-Table11[[#This Row],[Amount]]</f>
        <v>2.99</v>
      </c>
      <c r="F42" s="5" t="s">
        <v>8</v>
      </c>
      <c r="G42" s="5" t="s">
        <v>9</v>
      </c>
    </row>
    <row r="43" spans="1:7" x14ac:dyDescent="0.25">
      <c r="A43" s="4">
        <v>46009</v>
      </c>
      <c r="B43" s="5" t="s">
        <v>54</v>
      </c>
      <c r="C43" s="5" t="s">
        <v>54</v>
      </c>
      <c r="D43" s="5">
        <v>-8.48</v>
      </c>
      <c r="E43" s="5">
        <f>-Table11[[#This Row],[Amount]]</f>
        <v>8.48</v>
      </c>
      <c r="F43" s="5" t="s">
        <v>6</v>
      </c>
      <c r="G43" s="5" t="s">
        <v>170</v>
      </c>
    </row>
    <row r="44" spans="1:7" x14ac:dyDescent="0.25">
      <c r="A44" s="4">
        <v>46009</v>
      </c>
      <c r="B44" s="5" t="s">
        <v>291</v>
      </c>
      <c r="C44" s="5" t="s">
        <v>291</v>
      </c>
      <c r="D44" s="5">
        <v>-15.1</v>
      </c>
      <c r="E44" s="5">
        <f>-Table11[[#This Row],[Amount]]</f>
        <v>15.1</v>
      </c>
      <c r="F44" s="5" t="s">
        <v>6</v>
      </c>
      <c r="G44" s="5" t="s">
        <v>47</v>
      </c>
    </row>
    <row r="45" spans="1:7" x14ac:dyDescent="0.25">
      <c r="A45" s="4">
        <v>46010</v>
      </c>
      <c r="B45" s="5" t="s">
        <v>104</v>
      </c>
      <c r="C45" s="5" t="s">
        <v>104</v>
      </c>
      <c r="D45" s="5">
        <v>-8.11</v>
      </c>
      <c r="E45" s="5">
        <f>-Table11[[#This Row],[Amount]]</f>
        <v>8.11</v>
      </c>
      <c r="F45" s="5" t="s">
        <v>6</v>
      </c>
      <c r="G45" s="5" t="s">
        <v>170</v>
      </c>
    </row>
    <row r="46" spans="1:7" x14ac:dyDescent="0.25">
      <c r="A46" s="4">
        <v>46012</v>
      </c>
      <c r="B46" s="5" t="s">
        <v>73</v>
      </c>
      <c r="C46" s="5" t="s">
        <v>73</v>
      </c>
      <c r="D46" s="5">
        <v>-10</v>
      </c>
      <c r="E46" s="5">
        <f>-Table11[[#This Row],[Amount]]</f>
        <v>10</v>
      </c>
      <c r="F46" s="5" t="s">
        <v>98</v>
      </c>
      <c r="G46" s="5" t="s">
        <v>113</v>
      </c>
    </row>
    <row r="47" spans="1:7" x14ac:dyDescent="0.25">
      <c r="A47" s="4">
        <v>46012</v>
      </c>
      <c r="B47" s="5" t="s">
        <v>293</v>
      </c>
      <c r="C47" s="5" t="s">
        <v>293</v>
      </c>
      <c r="D47" s="5">
        <v>-73.48</v>
      </c>
      <c r="E47" s="5">
        <f>-Table11[[#This Row],[Amount]]</f>
        <v>73.48</v>
      </c>
      <c r="F47" s="5" t="s">
        <v>13</v>
      </c>
      <c r="G47" s="5" t="s">
        <v>9</v>
      </c>
    </row>
    <row r="48" spans="1:7" x14ac:dyDescent="0.25">
      <c r="A48" s="4">
        <v>46012</v>
      </c>
      <c r="B48" s="5" t="s">
        <v>23</v>
      </c>
      <c r="C48" s="5" t="s">
        <v>23</v>
      </c>
      <c r="D48" s="5">
        <v>-6.38</v>
      </c>
      <c r="E48" s="5">
        <f>-Table11[[#This Row],[Amount]]</f>
        <v>6.38</v>
      </c>
      <c r="F48" s="5" t="s">
        <v>13</v>
      </c>
      <c r="G48" s="5" t="s">
        <v>9</v>
      </c>
    </row>
    <row r="49" spans="1:7" x14ac:dyDescent="0.25">
      <c r="A49" s="4">
        <v>46012</v>
      </c>
      <c r="B49" s="5" t="s">
        <v>294</v>
      </c>
      <c r="C49" s="5" t="s">
        <v>294</v>
      </c>
      <c r="D49" s="5">
        <v>-35</v>
      </c>
      <c r="E49" s="5">
        <f>-Table11[[#This Row],[Amount]]</f>
        <v>35</v>
      </c>
      <c r="F49" s="5" t="s">
        <v>8</v>
      </c>
      <c r="G49" s="5" t="s">
        <v>9</v>
      </c>
    </row>
    <row r="50" spans="1:7" x14ac:dyDescent="0.25">
      <c r="A50" s="4">
        <v>46013</v>
      </c>
      <c r="B50" s="5" t="s">
        <v>23</v>
      </c>
      <c r="C50" s="5" t="s">
        <v>23</v>
      </c>
      <c r="D50" s="5">
        <v>-7.48</v>
      </c>
      <c r="E50" s="5">
        <f>-Table11[[#This Row],[Amount]]</f>
        <v>7.48</v>
      </c>
      <c r="F50" s="5" t="s">
        <v>13</v>
      </c>
      <c r="G50" s="5" t="s">
        <v>9</v>
      </c>
    </row>
    <row r="51" spans="1:7" x14ac:dyDescent="0.25">
      <c r="A51" s="4">
        <v>46013</v>
      </c>
      <c r="B51" s="5" t="s">
        <v>292</v>
      </c>
      <c r="C51" s="5" t="s">
        <v>292</v>
      </c>
      <c r="D51" s="5">
        <v>-168.33</v>
      </c>
      <c r="E51" s="5">
        <f>(-Table11[[#This Row],[Amount]]+5.04)/2</f>
        <v>86.685000000000002</v>
      </c>
      <c r="F51" s="5" t="s">
        <v>230</v>
      </c>
      <c r="G51" s="5" t="s">
        <v>9</v>
      </c>
    </row>
    <row r="52" spans="1:7" x14ac:dyDescent="0.25">
      <c r="A52" s="4">
        <v>46013</v>
      </c>
      <c r="B52" s="5" t="s">
        <v>278</v>
      </c>
      <c r="C52" s="5" t="s">
        <v>161</v>
      </c>
      <c r="D52" s="5">
        <v>-122.31</v>
      </c>
      <c r="E52" s="5">
        <f>-Table11[[#This Row],[Amount]]</f>
        <v>122.31</v>
      </c>
      <c r="F52" s="5" t="s">
        <v>98</v>
      </c>
      <c r="G52" s="5" t="s">
        <v>113</v>
      </c>
    </row>
    <row r="53" spans="1:7" x14ac:dyDescent="0.25">
      <c r="A53" s="4">
        <v>46014</v>
      </c>
      <c r="B53" s="5" t="s">
        <v>288</v>
      </c>
      <c r="C53" s="5" t="s">
        <v>288</v>
      </c>
      <c r="D53" s="5">
        <v>-11.92</v>
      </c>
      <c r="E53" s="5">
        <f>-Table11[[#This Row],[Amount]]</f>
        <v>11.92</v>
      </c>
      <c r="F53" s="5" t="s">
        <v>6</v>
      </c>
      <c r="G53" s="5" t="s">
        <v>170</v>
      </c>
    </row>
    <row r="54" spans="1:7" x14ac:dyDescent="0.25">
      <c r="A54" s="4">
        <v>46014</v>
      </c>
      <c r="B54" s="5" t="s">
        <v>161</v>
      </c>
      <c r="C54" s="5" t="s">
        <v>161</v>
      </c>
      <c r="D54" s="5">
        <v>-3250</v>
      </c>
      <c r="E54" s="5">
        <f>-Table11[[#This Row],[Amount]]+ 2.49</f>
        <v>3252.49</v>
      </c>
      <c r="F54" s="5" t="s">
        <v>98</v>
      </c>
      <c r="G54" s="5" t="s">
        <v>113</v>
      </c>
    </row>
    <row r="55" spans="1:7" x14ac:dyDescent="0.25">
      <c r="A55" s="4">
        <v>46014</v>
      </c>
      <c r="B55" s="5" t="s">
        <v>291</v>
      </c>
      <c r="C55" s="5" t="s">
        <v>291</v>
      </c>
      <c r="D55" s="5">
        <v>-15.1</v>
      </c>
      <c r="E55" s="5">
        <f>-Table11[[#This Row],[Amount]]</f>
        <v>15.1</v>
      </c>
      <c r="F55" s="5" t="s">
        <v>6</v>
      </c>
      <c r="G55" s="5" t="s">
        <v>47</v>
      </c>
    </row>
    <row r="56" spans="1:7" x14ac:dyDescent="0.25">
      <c r="A56" s="4">
        <v>46017</v>
      </c>
      <c r="B56" s="5" t="s">
        <v>287</v>
      </c>
      <c r="C56" s="5" t="s">
        <v>287</v>
      </c>
      <c r="D56" s="5">
        <v>-18.010000000000002</v>
      </c>
      <c r="E56" s="5">
        <f>-Table11[[#This Row],[Amount]]</f>
        <v>18.010000000000002</v>
      </c>
      <c r="F56" s="5" t="s">
        <v>6</v>
      </c>
      <c r="G56" s="5" t="s">
        <v>47</v>
      </c>
    </row>
    <row r="57" spans="1:7" x14ac:dyDescent="0.25">
      <c r="A57" s="4">
        <v>46017</v>
      </c>
      <c r="B57" s="5" t="s">
        <v>110</v>
      </c>
      <c r="C57" s="5" t="s">
        <v>110</v>
      </c>
      <c r="D57" s="5">
        <v>-8</v>
      </c>
      <c r="E57" s="5">
        <f>-Table11[[#This Row],[Amount]]</f>
        <v>8</v>
      </c>
      <c r="F57" s="5" t="s">
        <v>14</v>
      </c>
      <c r="G57" s="5" t="s">
        <v>47</v>
      </c>
    </row>
    <row r="58" spans="1:7" x14ac:dyDescent="0.25">
      <c r="A58" s="4">
        <v>46017</v>
      </c>
      <c r="B58" s="5" t="s">
        <v>72</v>
      </c>
      <c r="C58" s="5" t="s">
        <v>72</v>
      </c>
      <c r="D58" s="5">
        <v>-30</v>
      </c>
      <c r="E58" s="5">
        <f>-Table11[[#This Row],[Amount]]</f>
        <v>30</v>
      </c>
      <c r="F58" s="5" t="s">
        <v>98</v>
      </c>
      <c r="G58" s="5" t="s">
        <v>47</v>
      </c>
    </row>
    <row r="59" spans="1:7" x14ac:dyDescent="0.25">
      <c r="A59" s="4">
        <v>46018</v>
      </c>
      <c r="B59" s="5" t="s">
        <v>314</v>
      </c>
      <c r="C59" s="5" t="s">
        <v>20</v>
      </c>
      <c r="D59" s="5">
        <v>-21.76</v>
      </c>
      <c r="E59" s="5">
        <f>-Table11[[#This Row],[Amount]]</f>
        <v>21.76</v>
      </c>
      <c r="F59" s="5" t="s">
        <v>13</v>
      </c>
      <c r="G59" s="5" t="s">
        <v>9</v>
      </c>
    </row>
    <row r="60" spans="1:7" x14ac:dyDescent="0.25">
      <c r="A60" s="4">
        <v>46019</v>
      </c>
      <c r="B60" s="5" t="s">
        <v>15</v>
      </c>
      <c r="C60" s="5" t="s">
        <v>15</v>
      </c>
      <c r="D60" s="5">
        <v>-3.99</v>
      </c>
      <c r="E60" s="5">
        <f>-Table11[[#This Row],[Amount]]</f>
        <v>3.99</v>
      </c>
      <c r="F60" s="5" t="s">
        <v>8</v>
      </c>
      <c r="G60" s="5" t="s">
        <v>9</v>
      </c>
    </row>
    <row r="65" spans="1:7" x14ac:dyDescent="0.25">
      <c r="A65" s="71">
        <v>46014</v>
      </c>
      <c r="B65" s="72" t="s">
        <v>289</v>
      </c>
      <c r="C65" s="72" t="s">
        <v>289</v>
      </c>
      <c r="D65" s="72">
        <v>-1740.35</v>
      </c>
      <c r="E65" s="74">
        <v>1740</v>
      </c>
      <c r="F65" s="72" t="s">
        <v>290</v>
      </c>
      <c r="G65" s="73" t="s">
        <v>47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DB01-467B-C94B-90A8-7B224107FDCB}">
  <dimension ref="A1:G43"/>
  <sheetViews>
    <sheetView topLeftCell="A15" workbookViewId="0">
      <selection activeCell="A40" sqref="A40:G40"/>
    </sheetView>
  </sheetViews>
  <sheetFormatPr baseColWidth="10" defaultRowHeight="20" x14ac:dyDescent="0.25"/>
  <cols>
    <col min="1" max="1" width="10.83203125" style="5"/>
    <col min="2" max="2" width="21.5" style="5" bestFit="1" customWidth="1"/>
    <col min="3" max="3" width="14.83203125" style="5" bestFit="1" customWidth="1"/>
    <col min="4" max="4" width="36.5" style="5" bestFit="1" customWidth="1"/>
    <col min="5" max="16384" width="10.83203125" style="5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5</v>
      </c>
    </row>
    <row r="2" spans="1:4" x14ac:dyDescent="0.25">
      <c r="A2" s="9">
        <v>45660</v>
      </c>
      <c r="B2" s="10" t="s">
        <v>22</v>
      </c>
      <c r="C2" s="18">
        <v>2221.39</v>
      </c>
      <c r="D2" s="11" t="s">
        <v>21</v>
      </c>
    </row>
    <row r="3" spans="1:4" x14ac:dyDescent="0.25">
      <c r="A3" s="15">
        <v>45674</v>
      </c>
      <c r="B3" s="16" t="s">
        <v>22</v>
      </c>
      <c r="C3" s="19">
        <v>2227.42</v>
      </c>
      <c r="D3" s="17" t="s">
        <v>21</v>
      </c>
    </row>
    <row r="4" spans="1:4" x14ac:dyDescent="0.25">
      <c r="A4" s="12">
        <v>45688</v>
      </c>
      <c r="B4" s="13" t="s">
        <v>22</v>
      </c>
      <c r="C4" s="20">
        <v>2271.9299999999998</v>
      </c>
      <c r="D4" s="14" t="s">
        <v>21</v>
      </c>
    </row>
    <row r="5" spans="1:4" x14ac:dyDescent="0.25">
      <c r="A5" s="15">
        <v>45702</v>
      </c>
      <c r="B5" s="16" t="s">
        <v>22</v>
      </c>
      <c r="C5" s="19">
        <v>2227.41</v>
      </c>
      <c r="D5" s="17" t="s">
        <v>21</v>
      </c>
    </row>
    <row r="6" spans="1:4" x14ac:dyDescent="0.25">
      <c r="A6" s="30">
        <v>45730</v>
      </c>
      <c r="B6" s="31" t="s">
        <v>22</v>
      </c>
      <c r="C6" s="47">
        <v>2312.3200000000002</v>
      </c>
      <c r="D6" s="32" t="s">
        <v>21</v>
      </c>
    </row>
    <row r="7" spans="1:4" x14ac:dyDescent="0.25">
      <c r="A7" s="30">
        <v>45744</v>
      </c>
      <c r="B7" s="31" t="s">
        <v>22</v>
      </c>
      <c r="C7" s="48">
        <v>2321.1</v>
      </c>
      <c r="D7" s="32" t="s">
        <v>21</v>
      </c>
    </row>
    <row r="8" spans="1:4" customFormat="1" x14ac:dyDescent="0.25">
      <c r="A8" s="4">
        <v>45758</v>
      </c>
      <c r="B8" s="5" t="s">
        <v>22</v>
      </c>
      <c r="C8" s="21">
        <v>2412.09</v>
      </c>
      <c r="D8" s="5" t="s">
        <v>21</v>
      </c>
    </row>
    <row r="9" spans="1:4" customFormat="1" x14ac:dyDescent="0.25">
      <c r="A9" s="4">
        <v>45772</v>
      </c>
      <c r="B9" s="5" t="s">
        <v>22</v>
      </c>
      <c r="C9" s="21">
        <v>2604.09</v>
      </c>
      <c r="D9" s="5" t="s">
        <v>21</v>
      </c>
    </row>
    <row r="10" spans="1:4" x14ac:dyDescent="0.25">
      <c r="A10" s="4">
        <v>45786</v>
      </c>
      <c r="B10" s="5" t="s">
        <v>22</v>
      </c>
      <c r="C10" s="21">
        <v>2227.42</v>
      </c>
      <c r="D10" s="5" t="s">
        <v>21</v>
      </c>
    </row>
    <row r="11" spans="1:4" x14ac:dyDescent="0.25">
      <c r="A11" s="4">
        <v>45789</v>
      </c>
      <c r="B11" s="5" t="s">
        <v>22</v>
      </c>
      <c r="C11" s="21">
        <v>250</v>
      </c>
      <c r="D11" s="5" t="s">
        <v>21</v>
      </c>
    </row>
    <row r="12" spans="1:4" x14ac:dyDescent="0.25">
      <c r="A12" s="4">
        <v>45800</v>
      </c>
      <c r="B12" s="5" t="s">
        <v>22</v>
      </c>
      <c r="C12" s="21">
        <v>2227.41</v>
      </c>
      <c r="D12" s="5" t="s">
        <v>21</v>
      </c>
    </row>
    <row r="13" spans="1:4" x14ac:dyDescent="0.25">
      <c r="A13" s="15">
        <v>45814</v>
      </c>
      <c r="B13" s="16" t="s">
        <v>22</v>
      </c>
      <c r="C13" s="19">
        <v>2401.8200000000002</v>
      </c>
      <c r="D13" s="17" t="s">
        <v>21</v>
      </c>
    </row>
    <row r="14" spans="1:4" x14ac:dyDescent="0.25">
      <c r="A14" s="15">
        <v>45828</v>
      </c>
      <c r="B14" s="16" t="s">
        <v>22</v>
      </c>
      <c r="C14" s="19">
        <v>2346.85</v>
      </c>
      <c r="D14" s="17" t="s">
        <v>21</v>
      </c>
    </row>
    <row r="15" spans="1:4" x14ac:dyDescent="0.25">
      <c r="A15" s="15">
        <v>45841</v>
      </c>
      <c r="B15" s="16" t="s">
        <v>22</v>
      </c>
      <c r="C15" s="19">
        <v>2227.42</v>
      </c>
      <c r="D15" s="17" t="s">
        <v>21</v>
      </c>
    </row>
    <row r="16" spans="1:4" x14ac:dyDescent="0.25">
      <c r="A16" s="15">
        <v>45856</v>
      </c>
      <c r="B16" s="16" t="s">
        <v>22</v>
      </c>
      <c r="C16" s="19">
        <v>2344.3200000000002</v>
      </c>
      <c r="D16" s="17" t="s">
        <v>21</v>
      </c>
    </row>
    <row r="17" spans="1:6" x14ac:dyDescent="0.25">
      <c r="A17" s="15">
        <v>45917</v>
      </c>
      <c r="B17" s="16" t="s">
        <v>164</v>
      </c>
      <c r="C17" s="19">
        <v>36.33</v>
      </c>
      <c r="D17" s="17" t="s">
        <v>21</v>
      </c>
    </row>
    <row r="18" spans="1:6" x14ac:dyDescent="0.25">
      <c r="A18" s="15">
        <v>45912</v>
      </c>
      <c r="B18" s="16" t="s">
        <v>22</v>
      </c>
      <c r="C18" s="19">
        <v>2227.4299999999998</v>
      </c>
      <c r="D18" s="17" t="s">
        <v>21</v>
      </c>
    </row>
    <row r="19" spans="1:6" x14ac:dyDescent="0.25">
      <c r="A19" s="15">
        <v>45919</v>
      </c>
      <c r="B19" s="16" t="s">
        <v>164</v>
      </c>
      <c r="C19" s="19">
        <v>394.56</v>
      </c>
      <c r="D19" s="17" t="s">
        <v>21</v>
      </c>
    </row>
    <row r="20" spans="1:6" customFormat="1" x14ac:dyDescent="0.25">
      <c r="A20" s="4">
        <v>45952</v>
      </c>
      <c r="B20" s="5" t="s">
        <v>164</v>
      </c>
      <c r="C20" s="21">
        <v>100</v>
      </c>
      <c r="D20" s="5" t="s">
        <v>21</v>
      </c>
    </row>
    <row r="21" spans="1:6" customFormat="1" x14ac:dyDescent="0.25">
      <c r="A21" s="4">
        <v>45953</v>
      </c>
      <c r="B21" s="5" t="s">
        <v>164</v>
      </c>
      <c r="C21" s="21">
        <v>1236.22</v>
      </c>
      <c r="D21" s="5" t="s">
        <v>21</v>
      </c>
    </row>
    <row r="22" spans="1:6" x14ac:dyDescent="0.25">
      <c r="A22" s="4">
        <v>45960</v>
      </c>
      <c r="B22" s="5" t="s">
        <v>164</v>
      </c>
      <c r="C22" s="21">
        <v>1441.5</v>
      </c>
      <c r="D22" s="5" t="s">
        <v>21</v>
      </c>
    </row>
    <row r="23" spans="1:6" x14ac:dyDescent="0.25">
      <c r="A23" s="15">
        <v>45940</v>
      </c>
      <c r="B23" s="16" t="s">
        <v>164</v>
      </c>
      <c r="C23" s="16">
        <v>1113.75</v>
      </c>
      <c r="D23" s="16">
        <f>-C23</f>
        <v>-1113.75</v>
      </c>
      <c r="E23" s="16" t="s">
        <v>191</v>
      </c>
      <c r="F23" s="17" t="s">
        <v>21</v>
      </c>
    </row>
    <row r="24" spans="1:6" x14ac:dyDescent="0.25">
      <c r="A24" s="15">
        <v>45950</v>
      </c>
      <c r="B24" s="16" t="s">
        <v>164</v>
      </c>
      <c r="C24" s="19">
        <v>261.83</v>
      </c>
      <c r="D24" s="17" t="s">
        <v>21</v>
      </c>
    </row>
    <row r="25" spans="1:6" ht="21" customHeight="1" x14ac:dyDescent="0.25">
      <c r="A25" s="15">
        <v>45944</v>
      </c>
      <c r="B25" s="16" t="s">
        <v>164</v>
      </c>
      <c r="C25" s="16">
        <v>2022.9</v>
      </c>
      <c r="D25" s="16">
        <f>-C25</f>
        <v>-2022.9</v>
      </c>
      <c r="E25" s="16" t="s">
        <v>191</v>
      </c>
      <c r="F25" s="17" t="s">
        <v>21</v>
      </c>
    </row>
    <row r="26" spans="1:6" customFormat="1" x14ac:dyDescent="0.25">
      <c r="A26" s="4">
        <v>45938</v>
      </c>
      <c r="B26" s="5" t="s">
        <v>164</v>
      </c>
      <c r="C26" s="5">
        <v>1216.76</v>
      </c>
      <c r="D26" s="5">
        <f>-C26</f>
        <v>-1216.76</v>
      </c>
      <c r="E26" s="5" t="s">
        <v>191</v>
      </c>
      <c r="F26" s="5" t="s">
        <v>21</v>
      </c>
    </row>
    <row r="27" spans="1:6" x14ac:dyDescent="0.25">
      <c r="A27" s="15">
        <v>45932</v>
      </c>
      <c r="B27" s="16" t="s">
        <v>164</v>
      </c>
      <c r="C27" s="16">
        <v>315.77999999999997</v>
      </c>
      <c r="D27" s="16">
        <f>-C27</f>
        <v>-315.77999999999997</v>
      </c>
      <c r="E27" s="16" t="s">
        <v>191</v>
      </c>
      <c r="F27" s="17" t="s">
        <v>21</v>
      </c>
    </row>
    <row r="28" spans="1:6" x14ac:dyDescent="0.25">
      <c r="A28" s="15">
        <v>45932</v>
      </c>
      <c r="B28" s="16" t="s">
        <v>164</v>
      </c>
      <c r="C28" s="16">
        <v>1113.8399999999999</v>
      </c>
      <c r="D28" s="16">
        <f>-C28</f>
        <v>-1113.8399999999999</v>
      </c>
      <c r="E28" s="16" t="s">
        <v>191</v>
      </c>
      <c r="F28" s="17" t="s">
        <v>21</v>
      </c>
    </row>
    <row r="29" spans="1:6" x14ac:dyDescent="0.25">
      <c r="A29" s="63">
        <v>45968</v>
      </c>
      <c r="B29" s="64" t="s">
        <v>164</v>
      </c>
      <c r="C29" s="64">
        <v>1234.18</v>
      </c>
      <c r="D29" s="64">
        <f>-Nov_25[[#This Row],[Amount]]</f>
        <v>14.67</v>
      </c>
      <c r="E29" s="64" t="s">
        <v>191</v>
      </c>
      <c r="F29" s="65" t="s">
        <v>21</v>
      </c>
    </row>
    <row r="30" spans="1:6" x14ac:dyDescent="0.25">
      <c r="A30" s="30">
        <v>45975</v>
      </c>
      <c r="B30" s="31" t="s">
        <v>164</v>
      </c>
      <c r="C30" s="31">
        <v>1429.7</v>
      </c>
      <c r="D30" s="31">
        <f>-Nov_25[[#This Row],[Amount]]</f>
        <v>9.99</v>
      </c>
      <c r="E30" s="31" t="s">
        <v>191</v>
      </c>
      <c r="F30" s="32" t="s">
        <v>21</v>
      </c>
    </row>
    <row r="31" spans="1:6" x14ac:dyDescent="0.25">
      <c r="A31" s="63">
        <v>45982</v>
      </c>
      <c r="B31" s="64" t="s">
        <v>164</v>
      </c>
      <c r="C31" s="64">
        <v>261.83999999999997</v>
      </c>
      <c r="D31" s="64">
        <f>-Nov_25[[#This Row],[Amount]]</f>
        <v>97.16</v>
      </c>
      <c r="E31" s="64" t="s">
        <v>191</v>
      </c>
      <c r="F31" s="65" t="s">
        <v>21</v>
      </c>
    </row>
    <row r="32" spans="1:6" x14ac:dyDescent="0.25">
      <c r="A32" s="30">
        <v>45982</v>
      </c>
      <c r="B32" s="31" t="s">
        <v>164</v>
      </c>
      <c r="C32" s="31">
        <v>702.51</v>
      </c>
      <c r="D32" s="31">
        <f>-Nov_25[[#This Row],[Amount]]</f>
        <v>21.5</v>
      </c>
      <c r="E32" s="31" t="s">
        <v>191</v>
      </c>
      <c r="F32" s="32" t="s">
        <v>21</v>
      </c>
    </row>
    <row r="33" spans="1:7" x14ac:dyDescent="0.25">
      <c r="A33" s="63">
        <v>45989</v>
      </c>
      <c r="B33" s="64" t="s">
        <v>164</v>
      </c>
      <c r="C33" s="64">
        <v>133.65</v>
      </c>
      <c r="D33" s="64">
        <f>-Nov_25[[#This Row],[Amount]]</f>
        <v>1.97</v>
      </c>
      <c r="E33" s="64" t="s">
        <v>191</v>
      </c>
      <c r="F33" s="65" t="s">
        <v>21</v>
      </c>
    </row>
    <row r="34" spans="1:7" x14ac:dyDescent="0.25">
      <c r="A34" s="30">
        <v>45989</v>
      </c>
      <c r="B34" s="31" t="s">
        <v>164</v>
      </c>
      <c r="C34" s="31">
        <v>1335.5</v>
      </c>
      <c r="D34" s="31">
        <f>-Nov_25[[#This Row],[Amount]]</f>
        <v>45.63</v>
      </c>
      <c r="E34" s="31" t="s">
        <v>191</v>
      </c>
      <c r="F34" s="32" t="s">
        <v>21</v>
      </c>
    </row>
    <row r="35" spans="1:7" x14ac:dyDescent="0.25">
      <c r="A35" s="15">
        <v>45995</v>
      </c>
      <c r="B35" s="16" t="s">
        <v>164</v>
      </c>
      <c r="C35" s="19" t="s">
        <v>164</v>
      </c>
      <c r="D35" s="16">
        <v>484.93</v>
      </c>
      <c r="E35" s="16">
        <f>-Table11[[#This Row],[Amount]]</f>
        <v>4.2300000000000004</v>
      </c>
      <c r="F35" s="16" t="s">
        <v>191</v>
      </c>
      <c r="G35" s="17" t="s">
        <v>21</v>
      </c>
    </row>
    <row r="36" spans="1:7" x14ac:dyDescent="0.25">
      <c r="A36" s="15">
        <v>45996</v>
      </c>
      <c r="B36" s="16" t="s">
        <v>164</v>
      </c>
      <c r="C36" s="16" t="s">
        <v>164</v>
      </c>
      <c r="D36" s="16">
        <v>702.51</v>
      </c>
      <c r="E36" s="16">
        <f>-Table11[[#This Row],[Amount]]</f>
        <v>4.2300000000000004</v>
      </c>
      <c r="F36" s="16" t="s">
        <v>191</v>
      </c>
      <c r="G36" s="17" t="s">
        <v>21</v>
      </c>
    </row>
    <row r="37" spans="1:7" x14ac:dyDescent="0.25">
      <c r="A37" s="4">
        <v>45996</v>
      </c>
      <c r="B37" s="5" t="s">
        <v>164</v>
      </c>
      <c r="C37" s="67">
        <v>1244.56</v>
      </c>
      <c r="D37" s="5">
        <f>-C37</f>
        <v>-1244.56</v>
      </c>
      <c r="E37" s="5" t="s">
        <v>191</v>
      </c>
      <c r="F37" s="5" t="s">
        <v>21</v>
      </c>
    </row>
    <row r="38" spans="1:7" x14ac:dyDescent="0.25">
      <c r="A38" s="15">
        <v>46003</v>
      </c>
      <c r="B38" s="16" t="s">
        <v>164</v>
      </c>
      <c r="C38" s="16" t="s">
        <v>164</v>
      </c>
      <c r="D38" s="16">
        <v>147.32</v>
      </c>
      <c r="E38" s="16">
        <f>-Table11[[#This Row],[Amount]]</f>
        <v>4.1100000000000003</v>
      </c>
      <c r="F38" s="16" t="s">
        <v>191</v>
      </c>
      <c r="G38" s="17" t="s">
        <v>21</v>
      </c>
    </row>
    <row r="39" spans="1:7" x14ac:dyDescent="0.25">
      <c r="A39" s="15">
        <v>46003</v>
      </c>
      <c r="B39" s="16" t="s">
        <v>164</v>
      </c>
      <c r="C39" s="16" t="s">
        <v>164</v>
      </c>
      <c r="D39" s="16">
        <v>1355.51</v>
      </c>
      <c r="E39" s="16">
        <f>-Table11[[#This Row],[Amount]]</f>
        <v>5.0599999999999996</v>
      </c>
      <c r="F39" s="16" t="s">
        <v>191</v>
      </c>
      <c r="G39" s="17" t="s">
        <v>21</v>
      </c>
    </row>
    <row r="40" spans="1:7" x14ac:dyDescent="0.25">
      <c r="A40" s="15">
        <v>46010</v>
      </c>
      <c r="B40" s="16" t="s">
        <v>164</v>
      </c>
      <c r="C40" s="16" t="s">
        <v>164</v>
      </c>
      <c r="D40" s="16">
        <v>1244.56</v>
      </c>
      <c r="E40" s="16">
        <f>-Table11[[#This Row],[Amount]]</f>
        <v>16.23</v>
      </c>
      <c r="F40" s="16" t="s">
        <v>191</v>
      </c>
      <c r="G40" s="17" t="s">
        <v>21</v>
      </c>
    </row>
    <row r="41" spans="1:7" x14ac:dyDescent="0.25">
      <c r="A41" s="15">
        <v>46017</v>
      </c>
      <c r="B41" s="16" t="s">
        <v>164</v>
      </c>
      <c r="C41" s="16" t="s">
        <v>164</v>
      </c>
      <c r="D41" s="16">
        <v>1452.64</v>
      </c>
      <c r="E41" s="16">
        <f>-Table11[[#This Row],[Amount]]</f>
        <v>1.99</v>
      </c>
      <c r="F41" s="16" t="s">
        <v>191</v>
      </c>
      <c r="G41" s="17" t="s">
        <v>21</v>
      </c>
    </row>
    <row r="42" spans="1:7" x14ac:dyDescent="0.25">
      <c r="A42" s="12">
        <v>46020</v>
      </c>
      <c r="B42" s="13" t="s">
        <v>164</v>
      </c>
      <c r="C42" s="13" t="s">
        <v>164</v>
      </c>
      <c r="D42" s="13">
        <v>139.97999999999999</v>
      </c>
      <c r="E42" s="13">
        <f>-Table11[[#This Row],[Amount]]</f>
        <v>2.99</v>
      </c>
      <c r="F42" s="13" t="s">
        <v>191</v>
      </c>
      <c r="G42" s="14" t="s">
        <v>21</v>
      </c>
    </row>
    <row r="43" spans="1:7" x14ac:dyDescent="0.25">
      <c r="B43" s="5" t="s">
        <v>42</v>
      </c>
      <c r="C43" s="21">
        <f>SUM(C4:C14)</f>
        <v>23602.44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Jan'25</vt:lpstr>
      <vt:lpstr>Feb'25</vt:lpstr>
      <vt:lpstr>Mar'25</vt:lpstr>
      <vt:lpstr>April'25</vt:lpstr>
      <vt:lpstr>May'25</vt:lpstr>
      <vt:lpstr>Jun'25</vt:lpstr>
      <vt:lpstr>July'25</vt:lpstr>
      <vt:lpstr>Sep'25</vt:lpstr>
      <vt:lpstr>Oct'25</vt:lpstr>
      <vt:lpstr>Nov '25</vt:lpstr>
      <vt:lpstr>Dec '25</vt:lpstr>
      <vt:lpstr>AWS Paychecks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Bora, Rohan</dc:creator>
  <cp:lastModifiedBy>Bora, Rohan</cp:lastModifiedBy>
  <dcterms:created xsi:type="dcterms:W3CDTF">2025-02-04T21:39:50Z</dcterms:created>
  <dcterms:modified xsi:type="dcterms:W3CDTF">2026-03-15T05:39:07Z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2025-05-10T20:13:22Z</vt:lpwstr>
  </property>
  <property fmtid="{D5CDD505-2E9C-101B-9397-08002B2CF9AE}" pid="4" name="MSIP_Label_19e68092-05df-4271-8e3e-b2a4c82ba797_Method">
    <vt:lpwstr>Privileged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db229062-43d5-4ad7-a983-12b2c07d9a5a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50, 0, 1, 1</vt:lpwstr>
  </property>
</Properties>
</file>