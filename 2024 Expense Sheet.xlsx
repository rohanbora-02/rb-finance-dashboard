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pivotTables/pivotTable5.xml" ContentType="application/vnd.openxmlformats-officedocument.spreadsheetml.pivotTable+xml"/>
  <Override PartName="/xl/tables/table6.xml" ContentType="application/vnd.openxmlformats-officedocument.spreadsheetml.table+xml"/>
  <Override PartName="/xl/pivotTables/pivotTable6.xml" ContentType="application/vnd.openxmlformats-officedocument.spreadsheetml.pivotTable+xml"/>
  <Override PartName="/xl/tables/table7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tables/table1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tables/table1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ohanbo/Desktop/Rohan/Finances/"/>
    </mc:Choice>
  </mc:AlternateContent>
  <xr:revisionPtr revIDLastSave="0" documentId="13_ncr:1_{F88169E4-24E0-D74A-8B31-674B21E12FB9}" xr6:coauthVersionLast="47" xr6:coauthVersionMax="47" xr10:uidLastSave="{00000000-0000-0000-0000-000000000000}"/>
  <bookViews>
    <workbookView xWindow="0" yWindow="660" windowWidth="30240" windowHeight="17440" activeTab="11" xr2:uid="{29F8D949-5E3D-2F47-BA1A-6CA892564F07}"/>
  </bookViews>
  <sheets>
    <sheet name="Jan '24" sheetId="1" r:id="rId1"/>
    <sheet name="Feb '24" sheetId="2" r:id="rId2"/>
    <sheet name="Mar '24" sheetId="3" r:id="rId3"/>
    <sheet name="Apr '24" sheetId="5" r:id="rId4"/>
    <sheet name="May '24" sheetId="6" r:id="rId5"/>
    <sheet name="Jun '24" sheetId="7" r:id="rId6"/>
    <sheet name="Jul '24" sheetId="8" r:id="rId7"/>
    <sheet name="Aug '24" sheetId="9" r:id="rId8"/>
    <sheet name="Sep '24" sheetId="10" r:id="rId9"/>
    <sheet name="Oct '24" sheetId="11" r:id="rId10"/>
    <sheet name="Nov '24" sheetId="12" r:id="rId11"/>
    <sheet name="Dec '24" sheetId="13" r:id="rId12"/>
  </sheets>
  <definedNames>
    <definedName name="Jul_24">Table8[#All]</definedName>
    <definedName name="Jun_24">Table7[#All]</definedName>
    <definedName name="May_24">Table5[#All]</definedName>
  </definedNames>
  <calcPr calcId="191029"/>
  <pivotCaches>
    <pivotCache cacheId="19" r:id="rId13"/>
    <pivotCache cacheId="20" r:id="rId14"/>
    <pivotCache cacheId="21" r:id="rId15"/>
    <pivotCache cacheId="22" r:id="rId16"/>
    <pivotCache cacheId="23" r:id="rId17"/>
    <pivotCache cacheId="25" r:id="rId18"/>
    <pivotCache cacheId="26" r:id="rId19"/>
    <pivotCache cacheId="27" r:id="rId20"/>
    <pivotCache cacheId="29" r:id="rId21"/>
    <pivotCache cacheId="30" r:id="rId22"/>
    <pivotCache cacheId="34" r:id="rId23"/>
    <pivotCache cacheId="38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3" l="1"/>
  <c r="D24" i="12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38" i="13"/>
  <c r="D22" i="13"/>
  <c r="D23" i="13"/>
  <c r="D24" i="13"/>
  <c r="D25" i="13"/>
  <c r="D26" i="13"/>
  <c r="D27" i="13"/>
  <c r="D28" i="13"/>
  <c r="D39" i="13"/>
  <c r="D9" i="12"/>
  <c r="D11" i="12"/>
  <c r="D10" i="12"/>
  <c r="D2" i="12"/>
  <c r="D3" i="12"/>
  <c r="D4" i="12"/>
  <c r="D5" i="12"/>
  <c r="D6" i="12"/>
  <c r="D7" i="12"/>
  <c r="D8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5" i="12"/>
  <c r="D26" i="12"/>
  <c r="D27" i="12"/>
  <c r="D28" i="12"/>
  <c r="D29" i="12"/>
  <c r="D30" i="12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I12" i="11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40" i="8"/>
  <c r="D38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9" i="8"/>
  <c r="D41" i="8"/>
  <c r="D42" i="8"/>
  <c r="D49" i="7"/>
  <c r="D61" i="7" s="1"/>
  <c r="D59" i="7"/>
  <c r="D9" i="7"/>
  <c r="D25" i="7"/>
  <c r="D24" i="7"/>
  <c r="D22" i="7"/>
  <c r="D18" i="7"/>
  <c r="D13" i="7"/>
  <c r="D8" i="7"/>
  <c r="D7" i="7"/>
  <c r="D2" i="7"/>
  <c r="D3" i="7"/>
  <c r="D4" i="7"/>
  <c r="D5" i="7"/>
  <c r="D6" i="7"/>
  <c r="D10" i="7"/>
  <c r="D11" i="7"/>
  <c r="D12" i="7"/>
  <c r="D14" i="7"/>
  <c r="D15" i="7"/>
  <c r="D16" i="7"/>
  <c r="D17" i="7"/>
  <c r="D19" i="7"/>
  <c r="D20" i="7"/>
  <c r="D21" i="7"/>
  <c r="D23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50" i="7"/>
  <c r="D51" i="7"/>
  <c r="D52" i="7"/>
  <c r="D53" i="7"/>
  <c r="D54" i="7"/>
  <c r="D55" i="7"/>
  <c r="D56" i="7"/>
  <c r="D57" i="7"/>
  <c r="D58" i="7"/>
  <c r="C61" i="7"/>
  <c r="C22" i="6"/>
  <c r="C36" i="5"/>
  <c r="C35" i="5"/>
  <c r="C33" i="5"/>
  <c r="C30" i="5"/>
  <c r="C31" i="5"/>
  <c r="C39" i="5"/>
  <c r="C18" i="3"/>
  <c r="C41" i="3"/>
  <c r="C40" i="3"/>
  <c r="C39" i="3"/>
  <c r="C38" i="3"/>
  <c r="C35" i="3"/>
  <c r="C15" i="3"/>
  <c r="C8" i="3"/>
  <c r="C7" i="3"/>
  <c r="C6" i="2"/>
  <c r="C25" i="2"/>
  <c r="C10" i="2"/>
  <c r="C16" i="2"/>
  <c r="C15" i="2"/>
  <c r="C13" i="2"/>
  <c r="C23" i="1"/>
  <c r="H8" i="1"/>
  <c r="D44" i="8" l="1"/>
</calcChain>
</file>

<file path=xl/sharedStrings.xml><?xml version="1.0" encoding="utf-8"?>
<sst xmlns="http://schemas.openxmlformats.org/spreadsheetml/2006/main" count="1306" uniqueCount="257">
  <si>
    <t>debit</t>
  </si>
  <si>
    <t xml:space="preserve">APPLE.COM/BILL           866-712-7753 CA </t>
  </si>
  <si>
    <t>Date</t>
  </si>
  <si>
    <t>Description</t>
  </si>
  <si>
    <t>Amount</t>
  </si>
  <si>
    <t>Category</t>
  </si>
  <si>
    <t>Transaction Type</t>
  </si>
  <si>
    <t>SRMD Café</t>
  </si>
  <si>
    <t>SRLC-USA Cyclothon Donation</t>
  </si>
  <si>
    <t>iCloud</t>
  </si>
  <si>
    <t>Travel</t>
  </si>
  <si>
    <t>Nathan's Birthday Gift</t>
  </si>
  <si>
    <t>Personal</t>
  </si>
  <si>
    <t>Rakjot to Bombay Ticket</t>
  </si>
  <si>
    <t>Holi Shibir</t>
  </si>
  <si>
    <t>Food</t>
  </si>
  <si>
    <t>Palladium Mall</t>
  </si>
  <si>
    <t>H&amp;M</t>
  </si>
  <si>
    <t>Palladium Mall Food</t>
  </si>
  <si>
    <t>Google Photos</t>
  </si>
  <si>
    <t>Total:</t>
  </si>
  <si>
    <t>Grand Total</t>
  </si>
  <si>
    <t>Sum of Amount</t>
  </si>
  <si>
    <t>Entertainment</t>
  </si>
  <si>
    <t>To Be Added:</t>
  </si>
  <si>
    <t>Cruise</t>
  </si>
  <si>
    <t>Charotar Yatra</t>
  </si>
  <si>
    <t>Categories</t>
  </si>
  <si>
    <t>Atlantis the Palm Limited</t>
  </si>
  <si>
    <t>Column1</t>
  </si>
  <si>
    <t>John Stewart Tickets</t>
  </si>
  <si>
    <t>VENMO</t>
  </si>
  <si>
    <t>Intuit Turbo Tax</t>
  </si>
  <si>
    <t>Goa Expenses</t>
  </si>
  <si>
    <t>Taxi</t>
  </si>
  <si>
    <t>Dubai Desert Safari</t>
  </si>
  <si>
    <t>Dubai Starbucks</t>
  </si>
  <si>
    <t>Air Canada: BOM-JFK</t>
  </si>
  <si>
    <t>Uber Pending</t>
  </si>
  <si>
    <t>Uber</t>
  </si>
  <si>
    <t>Kamal's South Bombay</t>
  </si>
  <si>
    <t>Starbucks</t>
  </si>
  <si>
    <t>Crosswords Bookstore</t>
  </si>
  <si>
    <t>PB&amp;J Drive</t>
  </si>
  <si>
    <t>Instacart- PB&amp;J Drive (Bread) + Personal Contribution</t>
  </si>
  <si>
    <t>iCLoud Bill + Google Photos</t>
  </si>
  <si>
    <t>Ramaal Albadayir</t>
  </si>
  <si>
    <t>Transportation</t>
  </si>
  <si>
    <t>Goa</t>
  </si>
  <si>
    <t>Tim Hortons</t>
  </si>
  <si>
    <t>Dubai</t>
  </si>
  <si>
    <t>Air India: BOM-DXB + Emirates: DXB-BOM</t>
  </si>
  <si>
    <t>BOM-Goa Ticket</t>
  </si>
  <si>
    <t>LAKE TAHOE PIZZA COMPANY</t>
  </si>
  <si>
    <t>Groceries</t>
  </si>
  <si>
    <t>TACO BELL 032536</t>
  </si>
  <si>
    <t>JOSHUA TREE NATIONAL PA</t>
  </si>
  <si>
    <t>SDIA AIRPORT PARKING</t>
  </si>
  <si>
    <t>WAL-MART #1832</t>
  </si>
  <si>
    <t>SPROUTS FARMERS MAR</t>
  </si>
  <si>
    <t>VONS #2065</t>
  </si>
  <si>
    <t>TRADER JOE S #220</t>
  </si>
  <si>
    <t>APPLE.COM/BILL 866-712-7753 CA</t>
  </si>
  <si>
    <t>discovery+ Ad-Free</t>
  </si>
  <si>
    <t>Southwest</t>
  </si>
  <si>
    <t>Deli Fresh</t>
  </si>
  <si>
    <t>Jet Blue</t>
  </si>
  <si>
    <t>Piem Hotels Limited</t>
  </si>
  <si>
    <t>Burma Burma</t>
  </si>
  <si>
    <t>Air India</t>
  </si>
  <si>
    <t>Lufthansa</t>
  </si>
  <si>
    <t>United Baggage Fee</t>
  </si>
  <si>
    <t>TJ Maxx</t>
  </si>
  <si>
    <t>Garden State Bagels</t>
  </si>
  <si>
    <t>Adidas Carlsbad</t>
  </si>
  <si>
    <t>Amazon (Aloe + Frame)</t>
  </si>
  <si>
    <t>Bath and Body Works</t>
  </si>
  <si>
    <t>Amazon (Medical Kit)</t>
  </si>
  <si>
    <t>On the Mark Fine Foods (Dates)</t>
  </si>
  <si>
    <t>Tramway Tickets</t>
  </si>
  <si>
    <t>Friendly Doughnuts</t>
  </si>
  <si>
    <t>Ralphs</t>
  </si>
  <si>
    <t>Subway</t>
  </si>
  <si>
    <t>Chaat Paradise</t>
  </si>
  <si>
    <t>Chevron Snacks</t>
  </si>
  <si>
    <t>Hertz Car Rental</t>
  </si>
  <si>
    <t>Local Juicery</t>
  </si>
  <si>
    <t>AirBnB</t>
  </si>
  <si>
    <t>Amazon (Card Holder + Shampoo Bottles)</t>
  </si>
  <si>
    <t>Amazon (Hydro + Backpack)</t>
  </si>
  <si>
    <t>iCLoud Bill</t>
  </si>
  <si>
    <t>Carlsbad Strawberry Company</t>
  </si>
  <si>
    <t>Unknown</t>
  </si>
  <si>
    <t>Nike Carlsbad</t>
  </si>
  <si>
    <t>Total</t>
  </si>
  <si>
    <t>Sancha Tea Boutique + Nicobar</t>
  </si>
  <si>
    <t>AMAZON.COM SEATTLE WA</t>
  </si>
  <si>
    <t>AMZN Mktp US*YB1EG0TF3 Amzn.com/billWA</t>
  </si>
  <si>
    <t>AMAZON.COM*4P5TN43N3 SEATTLE WA</t>
  </si>
  <si>
    <t>AMZN Mktp US*MH2SC4OY3 Amzn.com/billWA</t>
  </si>
  <si>
    <t>AMZN Mktp US*UI1P23SK3 Amzn.com/billWA</t>
  </si>
  <si>
    <t>Credit</t>
  </si>
  <si>
    <t>Calvin Klein</t>
  </si>
  <si>
    <t>The North Face 337</t>
  </si>
  <si>
    <t>Dining</t>
  </si>
  <si>
    <t>Ross Store</t>
  </si>
  <si>
    <t>Car Wash</t>
  </si>
  <si>
    <t>UCLA Store</t>
  </si>
  <si>
    <t>Thai Bite</t>
  </si>
  <si>
    <t>Amazon Marketplace</t>
  </si>
  <si>
    <t>Trader Joes</t>
  </si>
  <si>
    <t>Bennys Tacos</t>
  </si>
  <si>
    <t>G&amp;M Oil</t>
  </si>
  <si>
    <t>Le Labo</t>
  </si>
  <si>
    <t>Rocket Fizz</t>
  </si>
  <si>
    <t>Hangry Moon</t>
  </si>
  <si>
    <t>Bird</t>
  </si>
  <si>
    <t>Veggie Grill</t>
  </si>
  <si>
    <t>Rubios</t>
  </si>
  <si>
    <t>Amazon</t>
  </si>
  <si>
    <t>iCLoud</t>
  </si>
  <si>
    <t>Nekter Juice Bar</t>
  </si>
  <si>
    <t>Nord Vpn</t>
  </si>
  <si>
    <t>Toll Roads</t>
  </si>
  <si>
    <t>Agoda</t>
  </si>
  <si>
    <t>Adidas India</t>
  </si>
  <si>
    <t>SIA Airlines</t>
  </si>
  <si>
    <t>Pinnacle Resortd</t>
  </si>
  <si>
    <t>ITC Mughal</t>
  </si>
  <si>
    <t>SP HYDROVIV H2O HTTPSHYDROVIVDC</t>
  </si>
  <si>
    <t>AMZN Mktp US Amzn.com/billWA</t>
  </si>
  <si>
    <t>THE HAIR BAR</t>
  </si>
  <si>
    <t>NordVPN</t>
  </si>
  <si>
    <t>Canva</t>
  </si>
  <si>
    <t>Amateur Riders Club</t>
  </si>
  <si>
    <t>DisneyPlus</t>
  </si>
  <si>
    <t>Disney+</t>
  </si>
  <si>
    <t>Venture X - Ending in 0381</t>
  </si>
  <si>
    <t>Impark</t>
  </si>
  <si>
    <t>Good Fellas</t>
  </si>
  <si>
    <t>Restaurants</t>
  </si>
  <si>
    <t>Bird* Ride Pass</t>
  </si>
  <si>
    <t>Scoops Ice Cream Shop</t>
  </si>
  <si>
    <t>Zettle_*donut Cafe</t>
  </si>
  <si>
    <t>L Antica Pizzeria Da Mich</t>
  </si>
  <si>
    <t>Transport For London</t>
  </si>
  <si>
    <t>Credit Card - Ending in 7288</t>
  </si>
  <si>
    <t>Foreign Transaction Fee</t>
  </si>
  <si>
    <t>Air Canada</t>
  </si>
  <si>
    <t>Delta Skymiles Platinum Card ( X ) - Ending in 1003</t>
  </si>
  <si>
    <t>Credit Card ( ) - Ending in 9734</t>
  </si>
  <si>
    <t>Lime</t>
  </si>
  <si>
    <t>Scar Traders</t>
  </si>
  <si>
    <t>Shayona Restaurants Lt</t>
  </si>
  <si>
    <t>Sq *buns From Home Totten</t>
  </si>
  <si>
    <t>Wagamama</t>
  </si>
  <si>
    <t>Tesco</t>
  </si>
  <si>
    <t>Pret A Manger</t>
  </si>
  <si>
    <t>Hyde Park Boating</t>
  </si>
  <si>
    <t>Nicobar</t>
  </si>
  <si>
    <t>Asian Street Kitchen</t>
  </si>
  <si>
    <t>Zara</t>
  </si>
  <si>
    <t>The Nutcracker</t>
  </si>
  <si>
    <t>Nordvpn</t>
  </si>
  <si>
    <t>Airbnb</t>
  </si>
  <si>
    <t>The Taj</t>
  </si>
  <si>
    <t>Delta Air Lines</t>
  </si>
  <si>
    <t>Foo</t>
  </si>
  <si>
    <t>Hydroviv</t>
  </si>
  <si>
    <t>Disney Plus</t>
  </si>
  <si>
    <t>Card</t>
  </si>
  <si>
    <t>Amount2</t>
  </si>
  <si>
    <t>CSP Annual Fee</t>
  </si>
  <si>
    <t>London-Toronto</t>
  </si>
  <si>
    <t>iCloud Fee</t>
  </si>
  <si>
    <t>Google Photos Fee</t>
  </si>
  <si>
    <t>Gustoso</t>
  </si>
  <si>
    <t>The Hair Bar</t>
  </si>
  <si>
    <t>Apple.com</t>
  </si>
  <si>
    <t>Walmart</t>
  </si>
  <si>
    <t>Target</t>
  </si>
  <si>
    <t>Trader Joe's</t>
  </si>
  <si>
    <t>Whole Foods Market</t>
  </si>
  <si>
    <t>Pizzaro`s</t>
  </si>
  <si>
    <t>United</t>
  </si>
  <si>
    <t>Tst* Bagelafe</t>
  </si>
  <si>
    <t>Yyz El Catrin T3 Tb</t>
  </si>
  <si>
    <t>Utilities</t>
  </si>
  <si>
    <t>Bagel Boss</t>
  </si>
  <si>
    <t>7-eleven</t>
  </si>
  <si>
    <t>Best Buy</t>
  </si>
  <si>
    <t>Kettleman's Bagel Trainya</t>
  </si>
  <si>
    <t>Dollar Power</t>
  </si>
  <si>
    <t>Esso</t>
  </si>
  <si>
    <t>Bahn Thai Restaurant</t>
  </si>
  <si>
    <t>Emirates</t>
  </si>
  <si>
    <t>Checking Account - Ending in 7017</t>
  </si>
  <si>
    <t>SRA Stay</t>
  </si>
  <si>
    <t>AAA</t>
  </si>
  <si>
    <t>The Bombay Store</t>
  </si>
  <si>
    <t>Staples</t>
  </si>
  <si>
    <t>Carlsbad Ranch Market</t>
  </si>
  <si>
    <t>Adidas</t>
  </si>
  <si>
    <t>Sprouts Farmers Market</t>
  </si>
  <si>
    <t>Orangetheory Fitness</t>
  </si>
  <si>
    <t>Banana Republic</t>
  </si>
  <si>
    <t>Capital One</t>
  </si>
  <si>
    <t>Top of the Bagel</t>
  </si>
  <si>
    <t>HBO Max</t>
  </si>
  <si>
    <t>Rent</t>
  </si>
  <si>
    <t>Ebay</t>
  </si>
  <si>
    <t>Ace Hardware</t>
  </si>
  <si>
    <t>Cvs Pharmacy</t>
  </si>
  <si>
    <t>Handel's Homemade Ice Cream</t>
  </si>
  <si>
    <t>Taco Bell</t>
  </si>
  <si>
    <t>Apple</t>
  </si>
  <si>
    <t>Electronics</t>
  </si>
  <si>
    <t>Help.max.com</t>
  </si>
  <si>
    <t>Delta Skymiles Platinum Card - Ending in 1003</t>
  </si>
  <si>
    <t>Denault's Hardware 7</t>
  </si>
  <si>
    <t>Nike</t>
  </si>
  <si>
    <t>Chipotle Mexican Grill</t>
  </si>
  <si>
    <t>Polished</t>
  </si>
  <si>
    <t>Miramar Cash &amp; Carry</t>
  </si>
  <si>
    <t>Personal2</t>
  </si>
  <si>
    <t>Food2</t>
  </si>
  <si>
    <t>GasBuddy</t>
  </si>
  <si>
    <t>Shopping</t>
  </si>
  <si>
    <t>Dunkin' Donuts</t>
  </si>
  <si>
    <t>Rei</t>
  </si>
  <si>
    <t>Ucla Transportation Services</t>
  </si>
  <si>
    <t>Ucla Restaurants</t>
  </si>
  <si>
    <t>Pem Xpress</t>
  </si>
  <si>
    <t>Ladot</t>
  </si>
  <si>
    <t>Tamarack Hair And Nails</t>
  </si>
  <si>
    <t>Vons</t>
  </si>
  <si>
    <t>Donut Friend Dtla</t>
  </si>
  <si>
    <t>Olio Wood Fired Pizze</t>
  </si>
  <si>
    <t>The Red Dot Vegetarian Restaurant PMC</t>
  </si>
  <si>
    <t>Shrimad Rajchandra Div</t>
  </si>
  <si>
    <t>B&amp;h Photo Video</t>
  </si>
  <si>
    <t>Other Expenses</t>
  </si>
  <si>
    <t>Macy's</t>
  </si>
  <si>
    <t>Lyft</t>
  </si>
  <si>
    <t>Shrimad Rajchandra Lov</t>
  </si>
  <si>
    <t>City Market Food Hall</t>
  </si>
  <si>
    <t>Roasters</t>
  </si>
  <si>
    <t>Jcpenney</t>
  </si>
  <si>
    <t>Ross Stores</t>
  </si>
  <si>
    <t>Skechers</t>
  </si>
  <si>
    <t>West Elm</t>
  </si>
  <si>
    <t>Southwest: SAN-LGA</t>
  </si>
  <si>
    <t>Teva (VD)</t>
  </si>
  <si>
    <t>Charity</t>
  </si>
  <si>
    <t>Row Labels</t>
  </si>
  <si>
    <t>Sum of Amount2</t>
  </si>
  <si>
    <t>Sababa Falafel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</si>
</sst>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4472C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14" fontId="3" fillId="0" borderId="0" xfId="0" applyNumberFormat="1" applyFont="1"/>
    <xf numFmtId="0" fontId="3" fillId="0" borderId="4" xfId="0" applyFont="1" applyBorder="1" applyAlignment="1">
      <alignment horizontal="left"/>
    </xf>
    <xf numFmtId="164" fontId="3" fillId="0" borderId="0" xfId="1" applyNumberFormat="1" applyFont="1"/>
    <xf numFmtId="44" fontId="3" fillId="0" borderId="4" xfId="0" applyNumberFormat="1" applyFont="1" applyBorder="1"/>
    <xf numFmtId="0" fontId="3" fillId="0" borderId="0" xfId="0" applyFont="1" applyAlignment="1">
      <alignment horizontal="left"/>
    </xf>
    <xf numFmtId="164" fontId="4" fillId="3" borderId="0" xfId="0" applyNumberFormat="1" applyFont="1" applyFill="1"/>
    <xf numFmtId="0" fontId="3" fillId="4" borderId="4" xfId="0" applyFont="1" applyFill="1" applyBorder="1"/>
    <xf numFmtId="0" fontId="3" fillId="4" borderId="4" xfId="0" applyFont="1" applyFill="1" applyBorder="1" applyAlignment="1">
      <alignment horizontal="left"/>
    </xf>
    <xf numFmtId="44" fontId="3" fillId="4" borderId="4" xfId="0" applyNumberFormat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2" fontId="3" fillId="0" borderId="0" xfId="0" applyNumberFormat="1" applyFont="1"/>
    <xf numFmtId="0" fontId="3" fillId="5" borderId="0" xfId="0" applyFont="1" applyFill="1"/>
    <xf numFmtId="44" fontId="3" fillId="6" borderId="0" xfId="0" applyNumberFormat="1" applyFont="1" applyFill="1"/>
    <xf numFmtId="0" fontId="3" fillId="7" borderId="0" xfId="0" applyFont="1" applyFill="1"/>
    <xf numFmtId="164" fontId="3" fillId="0" borderId="0" xfId="0" applyNumberFormat="1" applyFont="1"/>
    <xf numFmtId="44" fontId="3" fillId="0" borderId="0" xfId="0" applyNumberFormat="1" applyFont="1"/>
    <xf numFmtId="0" fontId="4" fillId="8" borderId="0" xfId="0" applyFont="1" applyFill="1" applyAlignment="1">
      <alignment horizontal="center"/>
    </xf>
    <xf numFmtId="164" fontId="3" fillId="0" borderId="0" xfId="2" applyNumberFormat="1" applyFont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44" fontId="4" fillId="2" borderId="0" xfId="0" applyNumberFormat="1" applyFont="1" applyFill="1"/>
    <xf numFmtId="0" fontId="4" fillId="2" borderId="4" xfId="0" applyFont="1" applyFill="1" applyBorder="1"/>
    <xf numFmtId="0" fontId="3" fillId="0" borderId="4" xfId="0" applyFont="1" applyBorder="1"/>
    <xf numFmtId="0" fontId="4" fillId="2" borderId="4" xfId="0" applyFont="1" applyFill="1" applyBorder="1" applyAlignment="1">
      <alignment horizontal="left"/>
    </xf>
    <xf numFmtId="0" fontId="3" fillId="0" borderId="9" xfId="0" applyFont="1" applyBorder="1"/>
    <xf numFmtId="0" fontId="5" fillId="9" borderId="10" xfId="0" applyFont="1" applyFill="1" applyBorder="1"/>
    <xf numFmtId="0" fontId="3" fillId="5" borderId="4" xfId="0" applyFont="1" applyFill="1" applyBorder="1" applyAlignment="1">
      <alignment horizontal="left"/>
    </xf>
    <xf numFmtId="0" fontId="3" fillId="5" borderId="4" xfId="0" applyFont="1" applyFill="1" applyBorder="1" applyAlignment="1">
      <alignment vertical="center"/>
    </xf>
    <xf numFmtId="44" fontId="3" fillId="9" borderId="8" xfId="0" applyNumberFormat="1" applyFont="1" applyFill="1" applyBorder="1"/>
    <xf numFmtId="44" fontId="5" fillId="9" borderId="0" xfId="2" applyFont="1" applyFill="1"/>
    <xf numFmtId="44" fontId="3" fillId="0" borderId="0" xfId="2" applyFont="1"/>
    <xf numFmtId="44" fontId="0" fillId="0" borderId="0" xfId="0" applyNumberFormat="1"/>
    <xf numFmtId="0" fontId="3" fillId="0" borderId="11" xfId="0" applyFont="1" applyBorder="1"/>
    <xf numFmtId="44" fontId="5" fillId="9" borderId="10" xfId="0" applyNumberFormat="1" applyFont="1" applyFill="1" applyBorder="1"/>
    <xf numFmtId="0" fontId="3" fillId="0" borderId="4" xfId="0" pivotButton="1" applyFont="1" applyBorder="1"/>
    <xf numFmtId="2" fontId="3" fillId="0" borderId="4" xfId="0" applyNumberFormat="1" applyFont="1" applyBorder="1"/>
    <xf numFmtId="0" fontId="6" fillId="0" borderId="0" xfId="0" applyFont="1"/>
    <xf numFmtId="0" fontId="7" fillId="0" borderId="12" xfId="0" applyFont="1" applyBorder="1"/>
    <xf numFmtId="0" fontId="3" fillId="10" borderId="4" xfId="0" applyFont="1" applyFill="1" applyBorder="1"/>
    <xf numFmtId="0" fontId="3" fillId="10" borderId="4" xfId="0" applyFont="1" applyFill="1" applyBorder="1" applyAlignment="1">
      <alignment horizontal="left"/>
    </xf>
    <xf numFmtId="44" fontId="3" fillId="10" borderId="13" xfId="0" applyNumberFormat="1" applyFont="1" applyFill="1" applyBorder="1"/>
    <xf numFmtId="0" fontId="3" fillId="0" borderId="4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44" fontId="4" fillId="8" borderId="4" xfId="0" applyNumberFormat="1" applyFont="1" applyFill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14" fontId="9" fillId="0" borderId="0" xfId="0" applyNumberFormat="1" applyFont="1"/>
    <xf numFmtId="0" fontId="9" fillId="0" borderId="0" xfId="0" applyFont="1"/>
    <xf numFmtId="0" fontId="3" fillId="0" borderId="4" xfId="0" pivotButton="1" applyFont="1" applyBorder="1" applyAlignment="1">
      <alignment horizontal="center" vertical="center"/>
    </xf>
    <xf numFmtId="44" fontId="0" fillId="0" borderId="0" xfId="2" applyFont="1"/>
    <xf numFmtId="44" fontId="5" fillId="9" borderId="0" xfId="2" applyFont="1" applyFill="1" applyAlignment="1">
      <alignment horizontal="center" vertical="center"/>
    </xf>
    <xf numFmtId="14" fontId="7" fillId="0" borderId="0" xfId="0" applyNumberFormat="1" applyFont="1"/>
    <xf numFmtId="0" fontId="7" fillId="0" borderId="0" xfId="0" applyFont="1"/>
    <xf numFmtId="2" fontId="7" fillId="0" borderId="0" xfId="0" applyNumberFormat="1" applyFont="1"/>
    <xf numFmtId="0" fontId="3" fillId="5" borderId="4" xfId="0" applyFont="1" applyFill="1" applyBorder="1" applyAlignment="1">
      <alignment horizontal="center" vertical="center"/>
    </xf>
    <xf numFmtId="44" fontId="5" fillId="11" borderId="4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4" xfId="0" applyNumberFormat="1" applyFont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3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ill>
        <patternFill>
          <bgColor theme="0" tint="-0.249977111117893"/>
        </patternFill>
      </fill>
    </dxf>
    <dxf>
      <fill>
        <patternFill>
          <bgColor theme="8" tint="0.39997558519241921"/>
        </patternFill>
      </fill>
    </dxf>
    <dxf>
      <font>
        <b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(&quot;$&quot;* #,##0.00_);_(&quot;$&quot;* \(#,##0.00\);_(&quot;$&quot;* &quot;-&quot;??_);_(@_)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border>
        <bottom style="double">
          <color indexed="64"/>
        </bottom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alignment vertical="center"/>
    </dxf>
    <dxf>
      <alignment vertical="center"/>
    </dxf>
    <dxf>
      <fill>
        <patternFill patternType="solid">
          <bgColor theme="8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149998474074526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border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numFmt numFmtId="34" formatCode="_(&quot;$&quot;* #,##0.00_);_(&quot;$&quot;* \(#,##0.00\);_(&quot;$&quot;* &quot;-&quot;??_);_(@_)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z val="15"/>
      </font>
    </dxf>
    <dxf>
      <font>
        <sz val="15"/>
      </font>
    </dxf>
    <dxf>
      <font>
        <color theme="1"/>
      </font>
    </dxf>
    <dxf>
      <alignment horizontal="center"/>
    </dxf>
    <dxf>
      <font>
        <color theme="0"/>
      </font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alignment horizontal="center"/>
    </dxf>
    <dxf>
      <alignment horizontal="center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ill>
        <patternFill patternType="solid">
          <bgColor theme="0" tint="-0.34998626667073579"/>
        </patternFill>
      </fill>
    </dxf>
    <dxf>
      <numFmt numFmtId="34" formatCode="_(&quot;$&quot;* #,##0.00_);_(&quot;$&quot;* \(#,##0.00\);_(&quot;$&quot;* &quot;-&quot;??_);_(@_)"/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5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Income-Expense Sheet.xlsx]Jan '24!PivotTable1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 2024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''24'!$H$2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'Jan ''24'!$G$3:$G$7</c:f>
              <c:strCache>
                <c:ptCount val="4"/>
                <c:pt idx="0">
                  <c:v>Food</c:v>
                </c:pt>
                <c:pt idx="1">
                  <c:v>Personal</c:v>
                </c:pt>
                <c:pt idx="2">
                  <c:v>Travel</c:v>
                </c:pt>
                <c:pt idx="3">
                  <c:v>Entertainment</c:v>
                </c:pt>
              </c:strCache>
            </c:strRef>
          </c:cat>
          <c:val>
            <c:numRef>
              <c:f>'Jan ''24'!$H$3:$H$7</c:f>
              <c:numCache>
                <c:formatCode>_("$"* #,##0.00_);_("$"* \(#,##0.00\);_("$"* "-"??_);_(@_)</c:formatCode>
                <c:ptCount val="4"/>
                <c:pt idx="0">
                  <c:v>46.11</c:v>
                </c:pt>
                <c:pt idx="1">
                  <c:v>279.32</c:v>
                </c:pt>
                <c:pt idx="2">
                  <c:v>796</c:v>
                </c:pt>
                <c:pt idx="3">
                  <c:v>4.9800000000000004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B-2445-B2D5-BF363C05C4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9174495"/>
        <c:axId val="352866175"/>
      </c:barChart>
      <c:catAx>
        <c:axId val="6917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66175"/>
        <c:crosses val="autoZero"/>
        <c:auto val="1"/>
        <c:lblAlgn val="ctr"/>
        <c:lblOffset val="100"/>
        <c:noMultiLvlLbl val="0"/>
      </c:catAx>
      <c:valAx>
        <c:axId val="352866175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917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Income-Expense Sheet.xlsx]Feb '24!PivotTable1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</a:t>
            </a:r>
            <a:r>
              <a:rPr lang="en-US" baseline="0"/>
              <a:t> 2024 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 ''24'!$H$2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'Feb ''24'!$G$3:$G$11</c:f>
              <c:strCache>
                <c:ptCount val="8"/>
                <c:pt idx="0">
                  <c:v>Entertainment</c:v>
                </c:pt>
                <c:pt idx="1">
                  <c:v>Personal</c:v>
                </c:pt>
                <c:pt idx="2">
                  <c:v>Travel</c:v>
                </c:pt>
                <c:pt idx="3">
                  <c:v>Food</c:v>
                </c:pt>
                <c:pt idx="4">
                  <c:v>Transportation</c:v>
                </c:pt>
                <c:pt idx="5">
                  <c:v>Dubai</c:v>
                </c:pt>
                <c:pt idx="6">
                  <c:v>Goa</c:v>
                </c:pt>
                <c:pt idx="7">
                  <c:v>PB&amp;J Drive</c:v>
                </c:pt>
              </c:strCache>
            </c:strRef>
          </c:cat>
          <c:val>
            <c:numRef>
              <c:f>'Feb ''24'!$H$3:$H$11</c:f>
              <c:numCache>
                <c:formatCode>_("$"* #,##0.00_);_("$"* \(#,##0.00\);_("$"* "-"??_);_(@_)</c:formatCode>
                <c:ptCount val="8"/>
                <c:pt idx="0">
                  <c:v>187.81545454545454</c:v>
                </c:pt>
                <c:pt idx="1">
                  <c:v>142.4</c:v>
                </c:pt>
                <c:pt idx="2">
                  <c:v>94.91</c:v>
                </c:pt>
                <c:pt idx="3">
                  <c:v>25.12</c:v>
                </c:pt>
                <c:pt idx="4">
                  <c:v>39.980000000000004</c:v>
                </c:pt>
                <c:pt idx="5">
                  <c:v>843.03545454545451</c:v>
                </c:pt>
                <c:pt idx="6">
                  <c:v>174</c:v>
                </c:pt>
                <c:pt idx="7">
                  <c:v>99.4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F-8A4C-8AF8-037BE90A3C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303804847"/>
        <c:axId val="1538710479"/>
      </c:barChart>
      <c:catAx>
        <c:axId val="130380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10479"/>
        <c:crosses val="autoZero"/>
        <c:auto val="1"/>
        <c:lblAlgn val="ctr"/>
        <c:lblOffset val="100"/>
        <c:noMultiLvlLbl val="0"/>
      </c:catAx>
      <c:valAx>
        <c:axId val="1538710479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30380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Income-Expense Sheet.xlsx]Mar '24!PivotTable1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March 2024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 ''24'!$H$2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 ''24'!$G$3:$G$8</c:f>
              <c:strCache>
                <c:ptCount val="5"/>
                <c:pt idx="0">
                  <c:v>Food</c:v>
                </c:pt>
                <c:pt idx="1">
                  <c:v>Groceries</c:v>
                </c:pt>
                <c:pt idx="2">
                  <c:v>Personal</c:v>
                </c:pt>
                <c:pt idx="3">
                  <c:v>Travel</c:v>
                </c:pt>
                <c:pt idx="4">
                  <c:v>Unknown</c:v>
                </c:pt>
              </c:strCache>
            </c:strRef>
          </c:cat>
          <c:val>
            <c:numRef>
              <c:f>'Mar ''24'!$H$3:$H$8</c:f>
              <c:numCache>
                <c:formatCode>_("$"* #,##0.00_);_("$"* \(#,##0.00\);_("$"* "-"??_);_(@_)</c:formatCode>
                <c:ptCount val="5"/>
                <c:pt idx="0">
                  <c:v>208.84833333333336</c:v>
                </c:pt>
                <c:pt idx="1">
                  <c:v>225.39</c:v>
                </c:pt>
                <c:pt idx="2">
                  <c:v>539.75000000000011</c:v>
                </c:pt>
                <c:pt idx="3">
                  <c:v>450.375</c:v>
                </c:pt>
                <c:pt idx="4">
                  <c:v>85.99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0-D24D-9141-826E00DD67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56562016"/>
        <c:axId val="63507088"/>
      </c:barChart>
      <c:catAx>
        <c:axId val="25656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7088"/>
        <c:crosses val="autoZero"/>
        <c:auto val="1"/>
        <c:lblAlgn val="ctr"/>
        <c:lblOffset val="100"/>
        <c:noMultiLvlLbl val="0"/>
      </c:catAx>
      <c:valAx>
        <c:axId val="6350708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5656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Income-Expense Sheet.xlsx]Jul '24!PivotTable1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July 2024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 ''24'!$I$1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'Jul ''24'!$H$2:$H$9</c:f>
              <c:strCache>
                <c:ptCount val="7"/>
                <c:pt idx="0">
                  <c:v>Entertainment</c:v>
                </c:pt>
                <c:pt idx="1">
                  <c:v>Groceries</c:v>
                </c:pt>
                <c:pt idx="2">
                  <c:v>Restaurants</c:v>
                </c:pt>
                <c:pt idx="3">
                  <c:v>Travel</c:v>
                </c:pt>
                <c:pt idx="4">
                  <c:v>Utilities</c:v>
                </c:pt>
                <c:pt idx="5">
                  <c:v>Personal</c:v>
                </c:pt>
                <c:pt idx="6">
                  <c:v>Food</c:v>
                </c:pt>
              </c:strCache>
            </c:strRef>
          </c:cat>
          <c:val>
            <c:numRef>
              <c:f>'Jul ''24'!$I$2:$I$9</c:f>
              <c:numCache>
                <c:formatCode>0.00</c:formatCode>
                <c:ptCount val="7"/>
                <c:pt idx="0">
                  <c:v>54.42</c:v>
                </c:pt>
                <c:pt idx="1">
                  <c:v>213.20000000000005</c:v>
                </c:pt>
                <c:pt idx="2">
                  <c:v>20.350000000000001</c:v>
                </c:pt>
                <c:pt idx="3">
                  <c:v>704.42999999999984</c:v>
                </c:pt>
                <c:pt idx="4">
                  <c:v>12.78</c:v>
                </c:pt>
                <c:pt idx="5">
                  <c:v>192.44</c:v>
                </c:pt>
                <c:pt idx="6">
                  <c:v>149.70875000000001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6-314F-A0C9-9F1140DFE1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927796495"/>
        <c:axId val="627582431"/>
      </c:barChart>
      <c:catAx>
        <c:axId val="92779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82431"/>
        <c:crosses val="autoZero"/>
        <c:auto val="1"/>
        <c:lblAlgn val="ctr"/>
        <c:lblOffset val="100"/>
        <c:noMultiLvlLbl val="0"/>
      </c:catAx>
      <c:valAx>
        <c:axId val="62758243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2779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Income-Expense Sheet.xlsx]Aug '24!PivotTable1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August 2024 Expenses</a:t>
            </a:r>
          </a:p>
        </c:rich>
      </c:tx>
      <c:layout>
        <c:manualLayout>
          <c:xMode val="edge"/>
          <c:yMode val="edge"/>
          <c:x val="0.458887785501489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 ''24'!$I$1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'Aug ''24'!$H$2:$H$7</c:f>
              <c:strCache>
                <c:ptCount val="5"/>
                <c:pt idx="0">
                  <c:v>Entertainment</c:v>
                </c:pt>
                <c:pt idx="1">
                  <c:v>Travel</c:v>
                </c:pt>
                <c:pt idx="2">
                  <c:v>Transportation</c:v>
                </c:pt>
                <c:pt idx="3">
                  <c:v>Personal</c:v>
                </c:pt>
                <c:pt idx="4">
                  <c:v>Food</c:v>
                </c:pt>
              </c:strCache>
            </c:strRef>
          </c:cat>
          <c:val>
            <c:numRef>
              <c:f>'Aug ''24'!$I$2:$I$7</c:f>
              <c:numCache>
                <c:formatCode>_("$"* #,##0.00_);_("$"* \(#,##0.00\);_("$"* "-"??_);_(@_)</c:formatCode>
                <c:ptCount val="5"/>
                <c:pt idx="0">
                  <c:v>53.11</c:v>
                </c:pt>
                <c:pt idx="1">
                  <c:v>344.69</c:v>
                </c:pt>
                <c:pt idx="2">
                  <c:v>22.699999999999996</c:v>
                </c:pt>
                <c:pt idx="3">
                  <c:v>165.44</c:v>
                </c:pt>
                <c:pt idx="4">
                  <c:v>133.63499999999999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2-E24E-A38C-0900E0D7C0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03101199"/>
        <c:axId val="115915343"/>
      </c:barChart>
      <c:catAx>
        <c:axId val="10310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5343"/>
        <c:crosses val="autoZero"/>
        <c:auto val="1"/>
        <c:lblAlgn val="ctr"/>
        <c:lblOffset val="100"/>
        <c:noMultiLvlLbl val="0"/>
      </c:catAx>
      <c:valAx>
        <c:axId val="11591534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310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Income-Expense Sheet.xlsx]Sep '24!PivotTable1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September 2024</a:t>
            </a:r>
            <a:r>
              <a:rPr lang="en-US" baseline="0"/>
              <a:t> 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'Sep ''24'!$I$1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'Sep ''24'!$H$2:$H$7</c:f>
              <c:strCache>
                <c:ptCount val="5"/>
                <c:pt idx="0">
                  <c:v>Entertainment</c:v>
                </c:pt>
                <c:pt idx="1">
                  <c:v>Groceries</c:v>
                </c:pt>
                <c:pt idx="2">
                  <c:v>Travel</c:v>
                </c:pt>
                <c:pt idx="3">
                  <c:v>Personal</c:v>
                </c:pt>
                <c:pt idx="4">
                  <c:v>Food</c:v>
                </c:pt>
              </c:strCache>
            </c:strRef>
          </c:cat>
          <c:val>
            <c:numRef>
              <c:f>'Sep ''24'!$I$2:$I$7</c:f>
              <c:numCache>
                <c:formatCode>_("$"* #,##0.00_);_("$"* \(#,##0.00\);_("$"* "-"??_);_(@_)</c:formatCode>
                <c:ptCount val="5"/>
                <c:pt idx="0">
                  <c:v>57.940000000000005</c:v>
                </c:pt>
                <c:pt idx="1">
                  <c:v>186.69</c:v>
                </c:pt>
                <c:pt idx="2">
                  <c:v>8.84</c:v>
                </c:pt>
                <c:pt idx="3">
                  <c:v>811.14</c:v>
                </c:pt>
                <c:pt idx="4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7-B842-99D7-1E6A142369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988607631"/>
        <c:axId val="66595568"/>
      </c:barChart>
      <c:catAx>
        <c:axId val="198860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5568"/>
        <c:crosses val="autoZero"/>
        <c:auto val="1"/>
        <c:lblAlgn val="ctr"/>
        <c:lblOffset val="100"/>
        <c:noMultiLvlLbl val="0"/>
      </c:catAx>
      <c:valAx>
        <c:axId val="6659556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8860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Income-Expense Sheet.xlsx]Oct '24!PivotTable1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October '24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'Oct ''24'!$I$2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'Oct ''24'!$H$3:$H$10</c:f>
              <c:strCache>
                <c:ptCount val="7"/>
                <c:pt idx="0">
                  <c:v>Electronics</c:v>
                </c:pt>
                <c:pt idx="1">
                  <c:v>Groceries</c:v>
                </c:pt>
                <c:pt idx="2">
                  <c:v>Rent</c:v>
                </c:pt>
                <c:pt idx="3">
                  <c:v>Travel</c:v>
                </c:pt>
                <c:pt idx="4">
                  <c:v>Personal2</c:v>
                </c:pt>
                <c:pt idx="5">
                  <c:v>Food2</c:v>
                </c:pt>
                <c:pt idx="6">
                  <c:v>Shopping</c:v>
                </c:pt>
              </c:strCache>
            </c:strRef>
          </c:cat>
          <c:val>
            <c:numRef>
              <c:f>'Oct ''24'!$I$3:$I$10</c:f>
              <c:numCache>
                <c:formatCode>General</c:formatCode>
                <c:ptCount val="7"/>
                <c:pt idx="0">
                  <c:v>1.4950000000000001</c:v>
                </c:pt>
                <c:pt idx="1">
                  <c:v>71.240000000000009</c:v>
                </c:pt>
                <c:pt idx="2">
                  <c:v>1081.9100000000001</c:v>
                </c:pt>
                <c:pt idx="3">
                  <c:v>417.33</c:v>
                </c:pt>
                <c:pt idx="4">
                  <c:v>94.34</c:v>
                </c:pt>
                <c:pt idx="5">
                  <c:v>49.505000000000003</c:v>
                </c:pt>
                <c:pt idx="6">
                  <c:v>282.32499999999999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9-8A45-9B9B-D9D4409B25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107280896"/>
        <c:axId val="2106980384"/>
      </c:barChart>
      <c:catAx>
        <c:axId val="210728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80384"/>
        <c:crosses val="autoZero"/>
        <c:auto val="1"/>
        <c:lblAlgn val="ctr"/>
        <c:lblOffset val="100"/>
        <c:noMultiLvlLbl val="0"/>
      </c:catAx>
      <c:valAx>
        <c:axId val="2106980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728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Income-Expense Sheet.xlsx]Nov '24!PivotTable1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November '24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'Nov ''24'!$I$2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'Nov ''24'!$H$3:$H$9</c:f>
              <c:strCache>
                <c:ptCount val="6"/>
                <c:pt idx="0">
                  <c:v>Groceries</c:v>
                </c:pt>
                <c:pt idx="1">
                  <c:v>Travel</c:v>
                </c:pt>
                <c:pt idx="2">
                  <c:v>Food</c:v>
                </c:pt>
                <c:pt idx="3">
                  <c:v>Personal</c:v>
                </c:pt>
                <c:pt idx="4">
                  <c:v>Entertainment</c:v>
                </c:pt>
                <c:pt idx="5">
                  <c:v>Shopping</c:v>
                </c:pt>
              </c:strCache>
            </c:strRef>
          </c:cat>
          <c:val>
            <c:numRef>
              <c:f>'Nov ''24'!$I$3:$I$9</c:f>
              <c:numCache>
                <c:formatCode>_("$"* #,##0.00_);_("$"* \(#,##0.00\);_("$"* "-"??_);_(@_)</c:formatCode>
                <c:ptCount val="6"/>
                <c:pt idx="0">
                  <c:v>104.17264705882353</c:v>
                </c:pt>
                <c:pt idx="1">
                  <c:v>320.48</c:v>
                </c:pt>
                <c:pt idx="2">
                  <c:v>92.770735294117657</c:v>
                </c:pt>
                <c:pt idx="3">
                  <c:v>105.97</c:v>
                </c:pt>
                <c:pt idx="4">
                  <c:v>22.97</c:v>
                </c:pt>
                <c:pt idx="5">
                  <c:v>445.38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3-4441-831E-5E28F1B5F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145947856"/>
        <c:axId val="1145949568"/>
      </c:barChart>
      <c:catAx>
        <c:axId val="114594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49568"/>
        <c:crosses val="autoZero"/>
        <c:auto val="1"/>
        <c:lblAlgn val="ctr"/>
        <c:lblOffset val="100"/>
        <c:noMultiLvlLbl val="0"/>
      </c:catAx>
      <c:valAx>
        <c:axId val="114594956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14594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1504950</xdr:colOff>
      <xdr:row>11</xdr:row>
      <xdr:rowOff>247650</xdr:rowOff>
    </xdr:from>
    <xdr:to>
      <xdr:col>13</xdr:col>
      <xdr:colOff>25400</xdr:colOff>
      <xdr:row>25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2F46B-DD9F-341B-329E-F4660D0BB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5290</xdr:colOff>
      <xdr:row>12</xdr:row>
      <xdr:rowOff>9524</xdr:rowOff>
    </xdr:from>
    <xdr:to>
      <xdr:col>13</xdr:col>
      <xdr:colOff>814915</xdr:colOff>
      <xdr:row>32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7B6AD-968B-9509-F4EB-19AC3B635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10</xdr:row>
      <xdr:rowOff>247650</xdr:rowOff>
    </xdr:from>
    <xdr:to>
      <xdr:col>17</xdr:col>
      <xdr:colOff>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5CE6D-57D0-D66D-A586-311EF9D82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10</xdr:row>
      <xdr:rowOff>0</xdr:rowOff>
    </xdr:from>
    <xdr:to>
      <xdr:col>16</xdr:col>
      <xdr:colOff>25400</xdr:colOff>
      <xdr:row>28</xdr:row>
      <xdr:rowOff>241300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6CB4B1-6B6A-AED8-0EEB-34410A262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692150</xdr:colOff>
      <xdr:row>8</xdr:row>
      <xdr:rowOff>6350</xdr:rowOff>
    </xdr:from>
    <xdr:to>
      <xdr:col>14</xdr:col>
      <xdr:colOff>12700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091C7-D653-FF63-AD31-F40A2693D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8</xdr:row>
      <xdr:rowOff>25400</xdr:rowOff>
    </xdr:from>
    <xdr:to>
      <xdr:col>13</xdr:col>
      <xdr:colOff>101600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5A82CF-D3E0-580F-65AE-639A7A208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12</xdr:row>
      <xdr:rowOff>101600</xdr:rowOff>
    </xdr:from>
    <xdr:to>
      <xdr:col>15</xdr:col>
      <xdr:colOff>50800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7EE3D-8729-616D-D7D7-1198A8798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11</xdr:row>
      <xdr:rowOff>19050</xdr:rowOff>
    </xdr:from>
    <xdr:to>
      <xdr:col>15</xdr:col>
      <xdr:colOff>444500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B0E0E-6A93-FCF7-1CFE-CE691E2CB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44.051153009263" createdVersion="8" refreshedVersion="8" minRefreshableVersion="3" recordCount="21" xr:uid="{CB1719AF-0F32-2540-AE2F-4F99DF86FC5B}">
  <cacheSource type="worksheet">
    <worksheetSource name="Table1"/>
  </cacheSource>
  <cacheFields count="5">
    <cacheField name="Date" numFmtId="14">
      <sharedItems containsSemiMixedTypes="0" containsNonDate="0" containsDate="1" containsString="0" minDate="2024-01-03T00:00:00" maxDate="2024-01-27T00:00:00"/>
    </cacheField>
    <cacheField name="Description" numFmtId="0">
      <sharedItems/>
    </cacheField>
    <cacheField name="Amount" numFmtId="164">
      <sharedItems containsSemiMixedTypes="0" containsString="0" containsNumber="1" minValue="0.24" maxValue="700"/>
    </cacheField>
    <cacheField name="Category" numFmtId="0">
      <sharedItems count="8">
        <s v="Food"/>
        <s v="Travel"/>
        <s v="Personal"/>
        <s v="Entertainment"/>
        <s v="Fast Food" u="1"/>
        <s v="Gifts &amp; Donations" u="1"/>
        <s v="Clothing" u="1"/>
        <s v="Electronics &amp; Software" u="1"/>
      </sharedItems>
    </cacheField>
    <cacheField name="Transaction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66.897658217589" createdVersion="8" refreshedVersion="8" minRefreshableVersion="3" recordCount="37" xr:uid="{DC4798D0-4F26-0B47-8592-C873BB2C13A9}">
  <cacheSource type="worksheet">
    <worksheetSource name="Table3"/>
  </cacheSource>
  <cacheFields count="5">
    <cacheField name="Date" numFmtId="14">
      <sharedItems containsSemiMixedTypes="0" containsNonDate="0" containsDate="1" containsString="0" minDate="2024-02-05T00:00:00" maxDate="2024-02-27T00:00:00"/>
    </cacheField>
    <cacheField name="Description" numFmtId="0">
      <sharedItems/>
    </cacheField>
    <cacheField name="Amount" numFmtId="2">
      <sharedItems containsSemiMixedTypes="0" containsString="0" containsNumber="1" minValue="3.02" maxValue="474.31"/>
    </cacheField>
    <cacheField name="Category" numFmtId="0">
      <sharedItems count="16">
        <s v="Personal"/>
        <s v="Food"/>
        <s v="Entertainment"/>
        <s v="Dubai"/>
        <s v="Goa"/>
        <s v="Transportation"/>
        <s v="Travel"/>
        <s v="PB&amp;J Drive"/>
        <s v="Food &amp; Dining" u="1"/>
        <s v="Shopping" u="1"/>
        <s v="Taxes" u="1"/>
        <s v="Transfer" u="1"/>
        <s v="Auto &amp; Transport" u="1"/>
        <s v="Travel &amp; Vacation" u="1"/>
        <s v="Groceries" u="1"/>
        <s v="Income" u="1"/>
      </sharedItems>
    </cacheField>
    <cacheField name="Transaction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83.985976041666" createdVersion="8" refreshedVersion="8" minRefreshableVersion="3" recordCount="43" xr:uid="{D90490DA-3614-C94F-B153-8AB993D016B7}">
  <cacheSource type="worksheet">
    <worksheetSource name="Table4"/>
  </cacheSource>
  <cacheFields count="5">
    <cacheField name="Date" numFmtId="14">
      <sharedItems containsSemiMixedTypes="0" containsNonDate="0" containsDate="1" containsString="0" minDate="2024-03-07T00:00:00" maxDate="2024-03-29T00:00:00"/>
    </cacheField>
    <cacheField name="Description" numFmtId="0">
      <sharedItems/>
    </cacheField>
    <cacheField name="Amount" numFmtId="164">
      <sharedItems containsSemiMixedTypes="0" containsString="0" containsNumber="1" minValue="1.99" maxValue="193.75"/>
    </cacheField>
    <cacheField name="Category" numFmtId="0">
      <sharedItems containsBlank="1" count="15">
        <s v="Travel"/>
        <s v="Food"/>
        <s v="Unknown"/>
        <s v="Personal"/>
        <s v="Groceries"/>
        <s v="Transportation" u="1"/>
        <s v="Food &amp; Drink" u="1"/>
        <s v="Bills &amp; Utilities" u="1"/>
        <s v="Phone/Cable" u="1"/>
        <s v="Lodging" u="1"/>
        <s v="Dining" u="1"/>
        <s v="Shopping" u="1"/>
        <m u="1"/>
        <s v="Gas" u="1"/>
        <s v="Car Rental" u="1"/>
      </sharedItems>
    </cacheField>
    <cacheField name="Transaction Typ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447.712576273145" createdVersion="8" refreshedVersion="8" minRefreshableVersion="3" recordCount="36" xr:uid="{04F385BD-DE7E-1541-B423-DFF6B52AFC33}">
  <cacheSource type="worksheet">
    <worksheetSource name="Table5"/>
  </cacheSource>
  <cacheFields count="5">
    <cacheField name="Date" numFmtId="14">
      <sharedItems containsSemiMixedTypes="0" containsNonDate="0" containsDate="1" containsString="0" minDate="2024-04-03T00:00:00" maxDate="2024-04-29T00:00:00"/>
    </cacheField>
    <cacheField name="Description" numFmtId="0">
      <sharedItems/>
    </cacheField>
    <cacheField name="Amount" numFmtId="2">
      <sharedItems containsSemiMixedTypes="0" containsString="0" containsNumber="1" minValue="1.99" maxValue="116.10333333333334"/>
    </cacheField>
    <cacheField name="Category" numFmtId="0">
      <sharedItems containsBlank="1" count="11">
        <s v="Personal"/>
        <s v="Food"/>
        <s v="Groceries"/>
        <s v="Entertainment"/>
        <s v="Travel"/>
        <s v="Dining"/>
        <m u="1"/>
        <s v="Merchandise" u="1"/>
        <s v="Other Travel" u="1"/>
        <s v="Airfare" u="1"/>
        <s v="Lodging" u="1"/>
      </sharedItems>
    </cacheField>
    <cacheField name="Transaction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450.793576388889" createdVersion="8" refreshedVersion="8" minRefreshableVersion="3" recordCount="18" xr:uid="{CDD38249-3C74-3547-8C8F-441D83BCB655}">
  <cacheSource type="worksheet">
    <worksheetSource name="Table6"/>
  </cacheSource>
  <cacheFields count="5">
    <cacheField name="Date" numFmtId="14">
      <sharedItems containsSemiMixedTypes="0" containsNonDate="0" containsDate="1" containsString="0" minDate="2024-05-01T00:00:00" maxDate="2024-06-05T00:00:00"/>
    </cacheField>
    <cacheField name="Description" numFmtId="0">
      <sharedItems/>
    </cacheField>
    <cacheField name="Amount" numFmtId="0">
      <sharedItems containsSemiMixedTypes="0" containsString="0" containsNumber="1" minValue="-2.99" maxValue="339.1"/>
    </cacheField>
    <cacheField name="Category" numFmtId="0">
      <sharedItems count="12">
        <s v="Personal"/>
        <s v="Entertainment"/>
        <s v="Travel"/>
        <s v="Food"/>
        <s v="SEATTLE       WA " u="1"/>
        <s v="Amzn.com/bill WA " u="1"/>
        <s v="888-9057888   CA " u="1"/>
        <s v="Other Services" u="1"/>
        <s v="866-712-7753  CA " u="1"/>
        <s v="Shopping" u="1"/>
        <s v="Dining" u="1"/>
        <s v="HTTPSHYDROVIV DC " u="1"/>
      </sharedItems>
    </cacheField>
    <cacheField name="Transaction Typ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503.85968483796" createdVersion="8" refreshedVersion="8" minRefreshableVersion="3" recordCount="41" xr:uid="{208BF143-C14C-1142-AF3D-5BE23F83D093}">
  <cacheSource type="worksheet">
    <worksheetSource name="Table8"/>
  </cacheSource>
  <cacheFields count="6">
    <cacheField name="Date" numFmtId="14">
      <sharedItems containsSemiMixedTypes="0" containsNonDate="0" containsDate="1" containsString="0" minDate="2024-07-01T00:00:00" maxDate="2024-07-30T00:00:00"/>
    </cacheField>
    <cacheField name="Description" numFmtId="0">
      <sharedItems/>
    </cacheField>
    <cacheField name="Amount" numFmtId="0">
      <sharedItems containsSemiMixedTypes="0" containsString="0" containsNumber="1" minValue="-302.08" maxValue="302.08"/>
    </cacheField>
    <cacheField name="Amount2" numFmtId="44">
      <sharedItems containsSemiMixedTypes="0" containsString="0" containsNumber="1" minValue="0.9" maxValue="302.08"/>
    </cacheField>
    <cacheField name="Category" numFmtId="0">
      <sharedItems count="16">
        <s v="Entertainment"/>
        <s v="Personal"/>
        <s v="Food"/>
        <s v="Travel"/>
        <s v="Groceries"/>
        <s v="Utilities"/>
        <s v="Restaurants"/>
        <s v="General Merchandise" u="1"/>
        <s v="Gasoline/Fuel" u="1"/>
        <s v="Electronics" u="1"/>
        <s v="Refunds &amp; Reimbursements" u="1"/>
        <s v="Home Improvement" u="1"/>
        <s v="Rewards" u="1"/>
        <s v="Online Services" u="1"/>
        <s v="Other Expenses" u="1"/>
        <s v="Personal Care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551.490301736114" createdVersion="8" refreshedVersion="8" minRefreshableVersion="3" recordCount="24" xr:uid="{B91259A8-4A12-E148-AF89-C4851119AAFB}">
  <cacheSource type="worksheet">
    <worksheetSource name="Table9"/>
  </cacheSource>
  <cacheFields count="6">
    <cacheField name="Date" numFmtId="14">
      <sharedItems containsSemiMixedTypes="0" containsNonDate="0" containsDate="1" containsString="0" minDate="2024-08-01T00:00:00" maxDate="2024-08-31T00:00:00"/>
    </cacheField>
    <cacheField name="Description" numFmtId="0">
      <sharedItems/>
    </cacheField>
    <cacheField name="Amount" numFmtId="0">
      <sharedItems containsSemiMixedTypes="0" containsString="0" containsNumber="1" minValue="-150.6" maxValue="-0.94"/>
    </cacheField>
    <cacheField name="Amount2" numFmtId="0">
      <sharedItems containsSemiMixedTypes="0" containsString="0" containsNumber="1" minValue="0.94" maxValue="150.4"/>
    </cacheField>
    <cacheField name="Category" numFmtId="0">
      <sharedItems count="14">
        <s v="Entertainment"/>
        <s v="Transportation"/>
        <s v="Travel"/>
        <s v="Personal"/>
        <s v="Food"/>
        <s v="Other Expenses" u="1"/>
        <s v="General Merchandise" u="1"/>
        <s v="Electronics" u="1"/>
        <s v="Clothing/Shoes" u="1"/>
        <s v="Online Services" u="1"/>
        <s v="Home Improvement" u="1"/>
        <s v="Insurance" u="1"/>
        <s v="Refunds &amp; Reimbursements" u="1"/>
        <s v="Restaurant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569.871321296298" createdVersion="8" refreshedVersion="8" minRefreshableVersion="3" recordCount="23" xr:uid="{389A1A92-1225-C440-BF28-F7A4D05D27F9}">
  <cacheSource type="worksheet">
    <worksheetSource name="Table10"/>
  </cacheSource>
  <cacheFields count="6">
    <cacheField name="Date" numFmtId="14">
      <sharedItems containsSemiMixedTypes="0" containsNonDate="0" containsDate="1" containsString="0" minDate="2024-09-01T00:00:00" maxDate="2024-09-30T00:00:00"/>
    </cacheField>
    <cacheField name="Description" numFmtId="0">
      <sharedItems/>
    </cacheField>
    <cacheField name="Amount" numFmtId="0">
      <sharedItems containsSemiMixedTypes="0" containsString="0" containsNumber="1" minValue="-395" maxValue="-1.99"/>
    </cacheField>
    <cacheField name="Amount2" numFmtId="44">
      <sharedItems containsSemiMixedTypes="0" containsString="0" containsNumber="1" minValue="1.99" maxValue="289.08999999999997"/>
    </cacheField>
    <cacheField name="Category" numFmtId="0">
      <sharedItems count="14">
        <s v="Entertainment"/>
        <s v="Travel"/>
        <s v="Personal"/>
        <s v="Groceries"/>
        <s v="Food"/>
        <s v="Service Charges/Fees" u="1"/>
        <s v="Electronics" u="1"/>
        <s v="General Merchandise" u="1"/>
        <s v="Clothing/Shoes" u="1"/>
        <s v="Personal Care" u="1"/>
        <s v="Online Services" u="1"/>
        <s v="Other Expenses" u="1"/>
        <s v="Restaurants" u="1"/>
        <s v="Office Supplie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666.625415972223" createdVersion="8" refreshedVersion="8" minRefreshableVersion="3" recordCount="29" xr:uid="{C97BE536-3597-4D4B-9C6B-E1CFD9054DFD}">
  <cacheSource type="worksheet">
    <worksheetSource name="Table12"/>
  </cacheSource>
  <cacheFields count="6">
    <cacheField name="Date" numFmtId="14">
      <sharedItems containsSemiMixedTypes="0" containsNonDate="0" containsDate="1" containsString="0" minDate="2024-11-04T00:00:00" maxDate="2024-11-26T00:00:00"/>
    </cacheField>
    <cacheField name="Description" numFmtId="0">
      <sharedItems/>
    </cacheField>
    <cacheField name="Amount" numFmtId="0">
      <sharedItems containsSemiMixedTypes="0" containsString="0" containsNumber="1" minValue="-339.8" maxValue="-1"/>
    </cacheField>
    <cacheField name="Amount2" numFmtId="2">
      <sharedItems containsSemiMixedTypes="0" containsString="0" containsNumber="1" minValue="1" maxValue="303.48"/>
    </cacheField>
    <cacheField name="Category" numFmtId="0">
      <sharedItems count="18">
        <s v="Food"/>
        <s v="Groceries"/>
        <s v="Personal"/>
        <s v="Entertainment"/>
        <s v="Travel"/>
        <s v="Shopping"/>
        <s v="N/A" u="1"/>
        <s v="Shoppng" u="1"/>
        <s v="Restaurants" u="1"/>
        <s v="Online Services" u="1"/>
        <s v="General Merchandise" u="1"/>
        <s v="Gasoline/Fuel" u="1"/>
        <s v="Personal Care" u="1"/>
        <s v="Electronics" u="1"/>
        <s v="Deposits" u="1"/>
        <s v="Other Expenses" u="1"/>
        <s v="Clothing/Shoes" u="1"/>
        <s v="Paychecks/Salary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667.448541898149" createdVersion="8" refreshedVersion="8" minRefreshableVersion="3" recordCount="28" xr:uid="{CD470C17-DEC8-9045-A7A7-7E21AE722652}">
  <cacheSource type="worksheet">
    <worksheetSource name="Dec_24"/>
  </cacheSource>
  <cacheFields count="6">
    <cacheField name="Date" numFmtId="14">
      <sharedItems containsSemiMixedTypes="0" containsNonDate="0" containsDate="1" containsString="0" minDate="2024-12-01T00:00:00" maxDate="2024-12-22T00:00:00"/>
    </cacheField>
    <cacheField name="Description" numFmtId="0">
      <sharedItems/>
    </cacheField>
    <cacheField name="Amount" numFmtId="0">
      <sharedItems containsSemiMixedTypes="0" containsString="0" containsNumber="1" minValue="-257.98" maxValue="-0.47"/>
    </cacheField>
    <cacheField name="Amount2" numFmtId="0">
      <sharedItems containsSemiMixedTypes="0" containsString="0" containsNumber="1" minValue="2.99" maxValue="257.98"/>
    </cacheField>
    <cacheField name="Category" numFmtId="0">
      <sharedItems count="13">
        <s v="Food"/>
        <s v="Personal"/>
        <s v="Groceries"/>
        <s v="Shopping"/>
        <s v="Travel"/>
        <s v="Entertainment"/>
        <s v="Other Expenses"/>
        <s v="Follow Up" u="1"/>
        <s v="Restaurants" u="1"/>
        <s v="Charity" u="1"/>
        <s v="General Merchandise" u="1"/>
        <s v="Electronics" u="1"/>
        <s v="Clothing/Shoe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6096.066363773149" createdVersion="8" refreshedVersion="8" minRefreshableVersion="3" recordCount="36" xr:uid="{DFBF36B8-B96C-FE48-AFCC-32DF871BB6E5}">
  <cacheSource type="worksheet">
    <worksheetSource name="Table11"/>
  </cacheSource>
  <cacheFields count="6">
    <cacheField name="Date" numFmtId="14">
      <sharedItems containsSemiMixedTypes="0" containsNonDate="0" containsDate="1" containsString="0" minDate="2024-10-01T00:00:00" maxDate="2024-10-31T00:00:00"/>
    </cacheField>
    <cacheField name="Description" numFmtId="0">
      <sharedItems/>
    </cacheField>
    <cacheField name="Amount" numFmtId="0">
      <sharedItems containsSemiMixedTypes="0" containsString="0" containsNumber="1" minValue="-2163.8200000000002" maxValue="-2.9"/>
    </cacheField>
    <cacheField name="Amount2" numFmtId="0">
      <sharedItems containsSemiMixedTypes="0" containsString="0" containsNumber="1" minValue="1.45" maxValue="1081.9100000000001"/>
    </cacheField>
    <cacheField name="Category" numFmtId="0">
      <sharedItems count="15">
        <s v="Shopping"/>
        <s v="Food"/>
        <s v="Groceries"/>
        <s v="Personal"/>
        <s v="Travel"/>
        <s v="Electronics"/>
        <s v="Rent"/>
        <s v="Clothing/Shoes" u="1"/>
        <s v="Personal Care" u="1"/>
        <s v="Other Expenses" u="1"/>
        <s v="Healthcare/Medical" u="1"/>
        <s v="Gasoline/Fuel" u="1"/>
        <s v="General Merchandise" u="1"/>
        <s v="Restaurants" u="1"/>
        <s v="Home Improvement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6096.066885532404" createdVersion="8" refreshedVersion="8" minRefreshableVersion="3" recordCount="58" xr:uid="{48842732-0A9B-3E4A-BF69-DCF29D3805FD}">
  <cacheSource type="worksheet">
    <worksheetSource name="Table7"/>
  </cacheSource>
  <cacheFields count="6">
    <cacheField name="Date" numFmtId="14">
      <sharedItems containsSemiMixedTypes="0" containsNonDate="0" containsDate="1" containsString="0" minDate="2024-06-01T00:00:00" maxDate="2024-06-30T00:00:00"/>
    </cacheField>
    <cacheField name="Description" numFmtId="0">
      <sharedItems/>
    </cacheField>
    <cacheField name="Amount" numFmtId="2">
      <sharedItems containsSemiMixedTypes="0" containsString="0" containsNumber="1" minValue="-687.21" maxValue="-1.23"/>
    </cacheField>
    <cacheField name="Amount2" numFmtId="2">
      <sharedItems containsSemiMixedTypes="0" containsString="0" containsNumber="1" minValue="1.23" maxValue="222.36"/>
    </cacheField>
    <cacheField name="Category" numFmtId="0">
      <sharedItems count="12">
        <s v="Entertainment"/>
        <s v="Personal"/>
        <s v="Unknown"/>
        <s v="Travel"/>
        <s v="Food"/>
        <s v="Restaurants"/>
        <s v="Dues &amp; Subscriptions" u="1"/>
        <s v="Clothing/Shoes" u="1"/>
        <s v="Service Charges/Fees" u="1"/>
        <s v="Electronics" u="1"/>
        <s v="Online Services" u="1"/>
        <s v="Grocerie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4-01-03T00:00:00"/>
    <s v="SRMD Café"/>
    <n v="1.93"/>
    <x v="0"/>
    <s v="debit"/>
  </r>
  <r>
    <d v="2024-01-03T00:00:00"/>
    <s v="SRMD Café"/>
    <n v="1.93"/>
    <x v="0"/>
    <s v="debit"/>
  </r>
  <r>
    <d v="2024-01-03T00:00:00"/>
    <s v="SRMD Café"/>
    <n v="0.24"/>
    <x v="0"/>
    <s v="debit"/>
  </r>
  <r>
    <d v="2024-01-03T00:00:00"/>
    <s v="SRMD Café"/>
    <n v="2.65"/>
    <x v="0"/>
    <s v="debit"/>
  </r>
  <r>
    <d v="2024-01-04T00:00:00"/>
    <s v="SRMD Café"/>
    <n v="1.86"/>
    <x v="0"/>
    <s v="debit"/>
  </r>
  <r>
    <d v="2024-01-05T00:00:00"/>
    <s v="SRMD Café"/>
    <n v="1.92"/>
    <x v="0"/>
    <s v="debit"/>
  </r>
  <r>
    <d v="2024-01-06T00:00:00"/>
    <s v="SRMD Café"/>
    <n v="2.16"/>
    <x v="0"/>
    <s v="debit"/>
  </r>
  <r>
    <d v="2024-01-07T00:00:00"/>
    <s v="SRMD Café"/>
    <n v="2.41"/>
    <x v="0"/>
    <s v="debit"/>
  </r>
  <r>
    <d v="2024-01-09T00:00:00"/>
    <s v="Mumbai to Goa Ticket"/>
    <n v="43"/>
    <x v="1"/>
    <s v="debit"/>
  </r>
  <r>
    <d v="2024-01-10T00:00:00"/>
    <s v="SRLC-USA Cyclothon Donation"/>
    <n v="200"/>
    <x v="2"/>
    <s v="debit"/>
  </r>
  <r>
    <d v="2024-01-12T00:00:00"/>
    <s v="iCloud"/>
    <n v="2.99"/>
    <x v="3"/>
    <s v="debit"/>
  </r>
  <r>
    <d v="2024-01-16T00:00:00"/>
    <s v="Nathan's Birthday Gift"/>
    <n v="11.23"/>
    <x v="2"/>
    <s v="debit"/>
  </r>
  <r>
    <d v="2024-01-16T00:00:00"/>
    <s v="Rakjot to Bombay Ticket"/>
    <n v="53"/>
    <x v="1"/>
    <s v="debit"/>
  </r>
  <r>
    <d v="2024-01-17T00:00:00"/>
    <s v="SRMD Café"/>
    <n v="2.9"/>
    <x v="0"/>
    <s v="debit"/>
  </r>
  <r>
    <d v="2024-01-17T00:00:00"/>
    <s v="Holi Shibir"/>
    <n v="700"/>
    <x v="1"/>
    <s v="debit"/>
  </r>
  <r>
    <d v="2024-01-18T00:00:00"/>
    <s v="Google Photos"/>
    <n v="1.99"/>
    <x v="3"/>
    <s v="debit"/>
  </r>
  <r>
    <d v="2024-01-20T00:00:00"/>
    <s v="Palladium Mall"/>
    <n v="40.43"/>
    <x v="2"/>
    <s v="debit"/>
  </r>
  <r>
    <d v="2024-01-22T00:00:00"/>
    <s v="H&amp;M"/>
    <n v="21.67"/>
    <x v="2"/>
    <s v="debit"/>
  </r>
  <r>
    <d v="2024-01-22T00:00:00"/>
    <s v="Palladium Mall Food"/>
    <n v="26"/>
    <x v="0"/>
    <s v="debit"/>
  </r>
  <r>
    <d v="2024-01-23T00:00:00"/>
    <s v="APPLE.COM/BILL           866-712-7753 CA "/>
    <n v="5.99"/>
    <x v="2"/>
    <s v="debit"/>
  </r>
  <r>
    <d v="2024-01-26T00:00:00"/>
    <s v="SRMD Café"/>
    <n v="2.11"/>
    <x v="0"/>
    <s v="debi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d v="2024-02-05T00:00:00"/>
    <s v="Crosswords Bookstore"/>
    <n v="13.26"/>
    <x v="0"/>
    <s v="debit"/>
  </r>
  <r>
    <d v="2024-02-06T00:00:00"/>
    <s v="SRMD Café"/>
    <n v="3.14"/>
    <x v="1"/>
    <s v="debit"/>
  </r>
  <r>
    <d v="2024-02-06T00:00:00"/>
    <s v="John Stewart Tickets"/>
    <n v="89"/>
    <x v="2"/>
    <s v="debit"/>
  </r>
  <r>
    <d v="2024-02-10T00:00:00"/>
    <s v="SRMD Café"/>
    <n v="3.02"/>
    <x v="1"/>
    <s v="debit"/>
  </r>
  <r>
    <d v="2024-02-11T00:00:00"/>
    <s v="Air India: BOM-DXB + Emirates: DXB-BOM"/>
    <n v="474.31"/>
    <x v="3"/>
    <s v="debit"/>
  </r>
  <r>
    <d v="2024-02-12T00:00:00"/>
    <s v="VENMO"/>
    <n v="3.54"/>
    <x v="0"/>
    <s v="debit"/>
  </r>
  <r>
    <d v="2024-02-12T00:00:00"/>
    <s v="VENMO"/>
    <n v="10.62"/>
    <x v="0"/>
    <s v="debit"/>
  </r>
  <r>
    <d v="2024-02-12T00:00:00"/>
    <s v="Intuit Turbo Tax"/>
    <n v="70"/>
    <x v="0"/>
    <s v="debit"/>
  </r>
  <r>
    <d v="2024-02-12T00:00:00"/>
    <s v="iCLoud Bill + Google Photos"/>
    <n v="4.9800000000000004"/>
    <x v="0"/>
    <s v="debit"/>
  </r>
  <r>
    <d v="2024-02-13T00:00:00"/>
    <s v="Intuit Turbo Tax"/>
    <n v="40"/>
    <x v="0"/>
    <s v="debit"/>
  </r>
  <r>
    <d v="2024-02-12T00:00:00"/>
    <s v="BOM-Goa Ticket"/>
    <n v="43"/>
    <x v="4"/>
    <s v="debit"/>
  </r>
  <r>
    <d v="2024-02-13T00:00:00"/>
    <s v="Goa Expenses"/>
    <n v="131"/>
    <x v="4"/>
    <s v="debit"/>
  </r>
  <r>
    <d v="2024-02-15T00:00:00"/>
    <s v="Taxi"/>
    <n v="18"/>
    <x v="5"/>
    <s v="debit"/>
  </r>
  <r>
    <d v="2024-02-16T00:00:00"/>
    <s v="Dubai Desert Safari"/>
    <n v="79.015454545454546"/>
    <x v="2"/>
    <s v="debit"/>
  </r>
  <r>
    <d v="2024-02-17T00:00:00"/>
    <s v="Dubai Starbucks"/>
    <n v="11.16"/>
    <x v="1"/>
    <s v="debit"/>
  </r>
  <r>
    <d v="2024-02-19T00:00:00"/>
    <s v="Uber"/>
    <n v="15.62"/>
    <x v="3"/>
    <s v="debit"/>
  </r>
  <r>
    <d v="2024-02-19T00:00:00"/>
    <s v="Uber"/>
    <n v="16.34"/>
    <x v="3"/>
    <s v="debit"/>
  </r>
  <r>
    <d v="2024-02-19T00:00:00"/>
    <s v="Uber"/>
    <n v="15.27"/>
    <x v="3"/>
    <s v="debit"/>
  </r>
  <r>
    <d v="2024-02-19T00:00:00"/>
    <s v="Uber"/>
    <n v="10.9"/>
    <x v="3"/>
    <s v="debit"/>
  </r>
  <r>
    <d v="2024-02-19T00:00:00"/>
    <s v="Uber"/>
    <n v="20.88"/>
    <x v="3"/>
    <s v="debit"/>
  </r>
  <r>
    <d v="2024-02-19T00:00:00"/>
    <s v="Uber"/>
    <n v="17.61"/>
    <x v="3"/>
    <s v="debit"/>
  </r>
  <r>
    <d v="2024-02-19T00:00:00"/>
    <s v="Uber"/>
    <n v="10.62"/>
    <x v="3"/>
    <s v="debit"/>
  </r>
  <r>
    <d v="2024-02-19T00:00:00"/>
    <s v="Uber"/>
    <n v="21.98"/>
    <x v="5"/>
    <s v="debit"/>
  </r>
  <r>
    <d v="2024-02-19T00:00:00"/>
    <s v="Ramaal Albadayir"/>
    <n v="13.615454545454547"/>
    <x v="3"/>
    <s v="debit"/>
  </r>
  <r>
    <d v="2024-02-20T00:00:00"/>
    <s v="Atlantis the Palm Limited"/>
    <n v="95.31"/>
    <x v="3"/>
    <s v="debit"/>
  </r>
  <r>
    <d v="2024-02-20T00:00:00"/>
    <s v="Uber"/>
    <n v="29.18"/>
    <x v="3"/>
    <s v="debit"/>
  </r>
  <r>
    <d v="2024-02-20T00:00:00"/>
    <s v="Uber Pending"/>
    <n v="18.079999999999998"/>
    <x v="3"/>
    <s v="debit"/>
  </r>
  <r>
    <d v="2024-02-20T00:00:00"/>
    <s v="Air Canada: BOM-JFK"/>
    <n v="94.91"/>
    <x v="6"/>
    <s v="debit"/>
  </r>
  <r>
    <d v="2024-02-20T00:00:00"/>
    <s v="Uber"/>
    <n v="25.54"/>
    <x v="3"/>
    <s v="debit"/>
  </r>
  <r>
    <d v="2024-02-20T00:00:00"/>
    <s v="Tim Hortons"/>
    <n v="16.34"/>
    <x v="3"/>
    <s v="debit"/>
  </r>
  <r>
    <d v="2024-02-21T00:00:00"/>
    <s v="Uber"/>
    <n v="18.04"/>
    <x v="3"/>
    <s v="debit"/>
  </r>
  <r>
    <d v="2024-02-21T00:00:00"/>
    <s v="Uber"/>
    <n v="11.68"/>
    <x v="3"/>
    <s v="debit"/>
  </r>
  <r>
    <d v="2024-02-21T00:00:00"/>
    <s v="Uber"/>
    <n v="15.62"/>
    <x v="3"/>
    <s v="debit"/>
  </r>
  <r>
    <d v="2024-02-21T00:00:00"/>
    <s v="Uber"/>
    <n v="18.079999999999998"/>
    <x v="3"/>
    <s v="debit"/>
  </r>
  <r>
    <d v="2024-02-23T00:00:00"/>
    <s v="Kamal's South Bombay"/>
    <n v="19.8"/>
    <x v="2"/>
    <s v="debit"/>
  </r>
  <r>
    <d v="2024-02-25T00:00:00"/>
    <s v="Instacart- PB&amp;J Drive (Bread) + Personal Contribution"/>
    <n v="99.4"/>
    <x v="7"/>
    <s v="debit"/>
  </r>
  <r>
    <d v="2024-02-26T00:00:00"/>
    <s v="Starbucks"/>
    <n v="7.8"/>
    <x v="1"/>
    <s v="debi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24-03-07T00:00:00"/>
    <s v="Southwest"/>
    <n v="5.6"/>
    <x v="0"/>
    <m/>
  </r>
  <r>
    <d v="2024-03-07T00:00:00"/>
    <s v="Southwest"/>
    <n v="5.6"/>
    <x v="0"/>
    <m/>
  </r>
  <r>
    <d v="2024-03-07T00:00:00"/>
    <s v="Deli Fresh"/>
    <n v="9.65"/>
    <x v="1"/>
    <m/>
  </r>
  <r>
    <d v="2024-03-08T00:00:00"/>
    <s v="Jet Blue"/>
    <n v="5.6"/>
    <x v="0"/>
    <m/>
  </r>
  <r>
    <d v="2024-03-08T00:00:00"/>
    <s v="Piem Hotels Limited"/>
    <n v="77"/>
    <x v="2"/>
    <m/>
  </r>
  <r>
    <d v="2024-03-09T00:00:00"/>
    <s v="Sancha Tea Boutique +Nicobar"/>
    <n v="115.55"/>
    <x v="3"/>
    <m/>
  </r>
  <r>
    <d v="2024-03-09T00:00:00"/>
    <s v="Burma Burma"/>
    <n v="22.873333333333335"/>
    <x v="1"/>
    <m/>
  </r>
  <r>
    <d v="2024-03-10T00:00:00"/>
    <s v="Uber"/>
    <n v="7.92"/>
    <x v="0"/>
    <m/>
  </r>
  <r>
    <d v="2024-03-10T00:00:00"/>
    <s v="Air India"/>
    <n v="70.09"/>
    <x v="0"/>
    <m/>
  </r>
  <r>
    <d v="2024-03-11T00:00:00"/>
    <s v="Lufthansa"/>
    <n v="5.6"/>
    <x v="0"/>
    <m/>
  </r>
  <r>
    <d v="2024-03-12T00:00:00"/>
    <s v="United Baggage Fee"/>
    <n v="40"/>
    <x v="0"/>
    <m/>
  </r>
  <r>
    <d v="2024-03-15T00:00:00"/>
    <s v="TJ Maxx"/>
    <n v="4.3099999999999996"/>
    <x v="3"/>
    <m/>
  </r>
  <r>
    <d v="2024-03-15T00:00:00"/>
    <s v="Garden State Bagels"/>
    <n v="20.28"/>
    <x v="1"/>
    <m/>
  </r>
  <r>
    <d v="2024-03-15T00:00:00"/>
    <s v="Adidas Carlsbad"/>
    <n v="72.720000000000027"/>
    <x v="3"/>
    <m/>
  </r>
  <r>
    <d v="2024-03-15T00:00:00"/>
    <s v="Amazon (Aloe + Frame)"/>
    <n v="28"/>
    <x v="3"/>
    <m/>
  </r>
  <r>
    <d v="2024-03-16T00:00:00"/>
    <s v="Bath and Body Works"/>
    <n v="2.1"/>
    <x v="3"/>
    <m/>
  </r>
  <r>
    <d v="2024-03-16T00:00:00"/>
    <s v="Amazon (Card Holder + Shampoo Bottles)"/>
    <n v="21.52"/>
    <x v="3"/>
    <m/>
  </r>
  <r>
    <d v="2024-03-17T00:00:00"/>
    <s v="Nike Carlsbad"/>
    <n v="119.04"/>
    <x v="3"/>
    <m/>
  </r>
  <r>
    <d v="2024-03-18T00:00:00"/>
    <s v="SDIA AIRPORT PARKING"/>
    <n v="7.5"/>
    <x v="0"/>
    <m/>
  </r>
  <r>
    <d v="2024-03-18T00:00:00"/>
    <s v="SPROUTS FARMERS MAR"/>
    <n v="60.57"/>
    <x v="4"/>
    <m/>
  </r>
  <r>
    <d v="2024-03-18T00:00:00"/>
    <s v="VONS #2065"/>
    <n v="13.98"/>
    <x v="4"/>
    <m/>
  </r>
  <r>
    <d v="2024-03-18T00:00:00"/>
    <s v="TRADER JOE S #220"/>
    <n v="13.97"/>
    <x v="4"/>
    <m/>
  </r>
  <r>
    <d v="2024-03-18T00:00:00"/>
    <s v="Carlsbad Strawberry Company"/>
    <n v="10"/>
    <x v="4"/>
    <m/>
  </r>
  <r>
    <d v="2024-03-18T00:00:00"/>
    <s v="APPLE.COM/BILL 866-712-7753 CA"/>
    <n v="4.9800000000000004"/>
    <x v="3"/>
    <m/>
  </r>
  <r>
    <d v="2024-03-18T00:00:00"/>
    <s v="Amazon (Medical Kit)"/>
    <n v="43.05"/>
    <x v="3"/>
    <m/>
  </r>
  <r>
    <d v="2024-03-19T00:00:00"/>
    <s v="On the Mark Fine Foods (Dates)"/>
    <n v="46"/>
    <x v="3"/>
    <m/>
  </r>
  <r>
    <d v="2024-03-19T00:00:00"/>
    <s v="Tramway Tickets"/>
    <n v="15"/>
    <x v="0"/>
    <m/>
  </r>
  <r>
    <d v="2024-03-19T00:00:00"/>
    <s v="WAL-MART #1832"/>
    <n v="114.93"/>
    <x v="4"/>
    <m/>
  </r>
  <r>
    <d v="2024-03-20T00:00:00"/>
    <s v="TACO BELL 032536"/>
    <n v="27.42"/>
    <x v="1"/>
    <m/>
  </r>
  <r>
    <d v="2024-03-20T00:00:00"/>
    <s v="JOSHUA TREE NATIONAL PA"/>
    <n v="30"/>
    <x v="0"/>
    <m/>
  </r>
  <r>
    <d v="2024-03-20T00:00:00"/>
    <s v="discovery+ Ad-Free"/>
    <n v="8.99"/>
    <x v="2"/>
    <m/>
  </r>
  <r>
    <d v="2024-03-20T00:00:00"/>
    <s v="Amazon (Hydro + Backpack)"/>
    <n v="80.489999999999995"/>
    <x v="3"/>
    <m/>
  </r>
  <r>
    <d v="2024-03-21T00:00:00"/>
    <s v="iCLoud Bill"/>
    <n v="1.99"/>
    <x v="3"/>
    <m/>
  </r>
  <r>
    <d v="2024-03-22T00:00:00"/>
    <s v="Friendly Doughnuts"/>
    <n v="15.525"/>
    <x v="1"/>
    <m/>
  </r>
  <r>
    <d v="2024-03-22T00:00:00"/>
    <s v="Ralphs"/>
    <n v="11.94"/>
    <x v="4"/>
    <m/>
  </r>
  <r>
    <d v="2024-03-23T00:00:00"/>
    <s v="Subway"/>
    <n v="30.51"/>
    <x v="1"/>
    <m/>
  </r>
  <r>
    <d v="2024-03-23T00:00:00"/>
    <s v="Chaat Paradise"/>
    <n v="23.29"/>
    <x v="1"/>
    <m/>
  </r>
  <r>
    <d v="2024-03-25T00:00:00"/>
    <s v="LAKE TAHOE PIZZA COMPANY"/>
    <n v="28.545000000000002"/>
    <x v="1"/>
    <m/>
  </r>
  <r>
    <d v="2024-03-25T00:00:00"/>
    <s v="Chevron Snacks"/>
    <n v="12.385"/>
    <x v="1"/>
    <m/>
  </r>
  <r>
    <d v="2024-03-26T00:00:00"/>
    <s v="Hertz Car Rental"/>
    <n v="63.715000000000003"/>
    <x v="0"/>
    <m/>
  </r>
  <r>
    <d v="2024-03-27T00:00:00"/>
    <s v="Chevron Snacks"/>
    <n v="8.48"/>
    <x v="1"/>
    <m/>
  </r>
  <r>
    <d v="2024-03-28T00:00:00"/>
    <s v="Local Juicery"/>
    <n v="9.89"/>
    <x v="1"/>
    <m/>
  </r>
  <r>
    <d v="2024-03-28T00:00:00"/>
    <s v="AirBnB"/>
    <n v="193.75"/>
    <x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4-04-03T00:00:00"/>
    <s v="Ross Store"/>
    <n v="21.54"/>
    <x v="0"/>
    <s v="Credit"/>
  </r>
  <r>
    <d v="2024-04-05T00:00:00"/>
    <s v="Car Wash"/>
    <n v="17"/>
    <x v="0"/>
    <s v="Credit"/>
  </r>
  <r>
    <d v="2024-04-06T00:00:00"/>
    <s v="UCLA Store"/>
    <n v="107.76"/>
    <x v="0"/>
    <s v="Credit"/>
  </r>
  <r>
    <d v="2024-04-06T00:00:00"/>
    <s v="Thai Bite"/>
    <n v="16.399999999999999"/>
    <x v="1"/>
    <s v="Credit"/>
  </r>
  <r>
    <d v="2024-04-07T00:00:00"/>
    <s v="Trader Joes"/>
    <n v="15.99"/>
    <x v="2"/>
    <s v="Credit"/>
  </r>
  <r>
    <d v="2024-04-07T00:00:00"/>
    <s v="Bennys Tacos"/>
    <n v="14.28"/>
    <x v="1"/>
    <s v="Credit"/>
  </r>
  <r>
    <d v="2024-04-07T00:00:00"/>
    <s v="G&amp;M Oil"/>
    <n v="20.239999999999998"/>
    <x v="0"/>
    <s v="Credit"/>
  </r>
  <r>
    <d v="2024-04-08T00:00:00"/>
    <s v="Le Labo"/>
    <n v="85.13"/>
    <x v="0"/>
    <s v="Credit"/>
  </r>
  <r>
    <d v="2024-04-08T00:00:00"/>
    <s v="Rocket Fizz"/>
    <n v="4.37"/>
    <x v="2"/>
    <s v="Credit"/>
  </r>
  <r>
    <d v="2024-04-09T00:00:00"/>
    <s v="Hangry Moon"/>
    <n v="12.09"/>
    <x v="1"/>
    <s v="Credit"/>
  </r>
  <r>
    <d v="2024-04-09T00:00:00"/>
    <s v="Bird"/>
    <n v="5.0599999999999996"/>
    <x v="0"/>
    <s v="Credit"/>
  </r>
  <r>
    <d v="2024-04-10T00:00:00"/>
    <s v="Veggie Grill"/>
    <n v="3.23"/>
    <x v="1"/>
    <s v="Credit"/>
  </r>
  <r>
    <d v="2024-04-10T00:00:00"/>
    <s v="Rubios"/>
    <n v="12.58"/>
    <x v="1"/>
    <s v="Credit"/>
  </r>
  <r>
    <d v="2024-04-10T00:00:00"/>
    <s v="Bird"/>
    <n v="4.3899999999999997"/>
    <x v="0"/>
    <s v="Credit"/>
  </r>
  <r>
    <d v="2024-04-12T00:00:00"/>
    <s v="iCLoud"/>
    <n v="2.99"/>
    <x v="3"/>
    <s v="Credit"/>
  </r>
  <r>
    <d v="2024-04-12T00:00:00"/>
    <s v="Amazon"/>
    <n v="10.77"/>
    <x v="0"/>
    <s v="Credit"/>
  </r>
  <r>
    <d v="2024-04-12T00:00:00"/>
    <s v="Nekter Juice Bar"/>
    <n v="12.29"/>
    <x v="1"/>
    <s v="Credit"/>
  </r>
  <r>
    <d v="2024-04-13T00:00:00"/>
    <s v="VENMO"/>
    <n v="5"/>
    <x v="0"/>
    <s v="Credit"/>
  </r>
  <r>
    <d v="2024-04-13T00:00:00"/>
    <s v="VENMO"/>
    <n v="5"/>
    <x v="0"/>
    <s v="Credit"/>
  </r>
  <r>
    <d v="2024-04-13T00:00:00"/>
    <s v="VENMO"/>
    <n v="1.99"/>
    <x v="0"/>
    <s v="Credit"/>
  </r>
  <r>
    <d v="2024-04-13T00:00:00"/>
    <s v="Nekter Juice Bar"/>
    <n v="2"/>
    <x v="1"/>
    <s v="Credit"/>
  </r>
  <r>
    <d v="2024-04-13T00:00:00"/>
    <s v="Calvin Klein"/>
    <n v="35.950000000000003"/>
    <x v="0"/>
    <s v="Credit"/>
  </r>
  <r>
    <d v="2024-04-13T00:00:00"/>
    <s v="The North Face 337"/>
    <n v="15.52"/>
    <x v="0"/>
    <s v="Credit"/>
  </r>
  <r>
    <d v="2024-04-13T00:00:00"/>
    <s v="Rubios"/>
    <n v="12.38"/>
    <x v="1"/>
    <s v="Credit"/>
  </r>
  <r>
    <d v="2024-04-14T00:00:00"/>
    <s v="Nord Vpn"/>
    <n v="12.99"/>
    <x v="3"/>
    <s v="Credit"/>
  </r>
  <r>
    <d v="2024-04-15T00:00:00"/>
    <s v="VENMO"/>
    <n v="5"/>
    <x v="0"/>
    <s v="Credit"/>
  </r>
  <r>
    <d v="2024-04-15T00:00:00"/>
    <s v="Toll Roads"/>
    <n v="60.24"/>
    <x v="0"/>
    <s v="Credit"/>
  </r>
  <r>
    <d v="2024-04-19T00:00:00"/>
    <s v="APPLE.COM/BILL 866-712-7753 CA"/>
    <n v="2.99"/>
    <x v="0"/>
    <s v="Credit"/>
  </r>
  <r>
    <d v="2024-04-21T00:00:00"/>
    <s v="Agoda"/>
    <n v="116.08999999999999"/>
    <x v="4"/>
    <s v="Credit"/>
  </r>
  <r>
    <d v="2024-04-21T00:00:00"/>
    <s v="Air India"/>
    <n v="102.43333333333334"/>
    <x v="4"/>
    <s v="Credit"/>
  </r>
  <r>
    <d v="2024-04-22T00:00:00"/>
    <s v="Adidas India"/>
    <n v="72.02"/>
    <x v="0"/>
    <s v="Credit"/>
  </r>
  <r>
    <d v="2024-04-23T00:00:00"/>
    <s v="SIA Airlines"/>
    <n v="55.863333333333337"/>
    <x v="4"/>
    <s v="Credit"/>
  </r>
  <r>
    <d v="2024-04-24T00:00:00"/>
    <s v="Pinnacle Resortd"/>
    <n v="50.6"/>
    <x v="4"/>
    <s v="Credit"/>
  </r>
  <r>
    <d v="2024-04-25T00:00:00"/>
    <s v="SIA Airlines"/>
    <n v="116.10333333333334"/>
    <x v="4"/>
    <s v="Credit"/>
  </r>
  <r>
    <d v="2024-04-28T00:00:00"/>
    <s v="ITC Mughal"/>
    <n v="17.783333333333335"/>
    <x v="4"/>
    <s v="Credit"/>
  </r>
  <r>
    <d v="2024-04-28T00:00:00"/>
    <s v="Starbucks"/>
    <n v="4.79"/>
    <x v="5"/>
    <s v="Credit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4-05-01T00:00:00"/>
    <s v="AMAZON.COM*4P5TN43N3 SEATTLE WA"/>
    <n v="250.15"/>
    <x v="0"/>
    <m/>
  </r>
  <r>
    <d v="2024-05-01T00:00:00"/>
    <s v="AMZN Mktp US*MH2SC4OY3 Amzn.com/billWA"/>
    <n v="206.88"/>
    <x v="0"/>
    <m/>
  </r>
  <r>
    <d v="2024-05-01T00:00:00"/>
    <s v="AMZN Mktp US*UI1P23SK3 Amzn.com/billWA"/>
    <n v="339.1"/>
    <x v="0"/>
    <m/>
  </r>
  <r>
    <d v="2024-05-02T00:00:00"/>
    <s v="Disney+"/>
    <n v="14.99"/>
    <x v="1"/>
    <m/>
  </r>
  <r>
    <d v="2024-05-02T00:00:00"/>
    <s v="AMZN Mktp US*YB1EG0TF3 Amzn.com/billWA"/>
    <n v="21.54"/>
    <x v="0"/>
    <m/>
  </r>
  <r>
    <d v="2024-05-04T00:00:00"/>
    <s v="AMAZON.COM SEATTLE WA"/>
    <n v="222.76"/>
    <x v="0"/>
    <m/>
  </r>
  <r>
    <d v="2024-05-07T00:00:00"/>
    <s v="AMZN Mktp US Amzn.com/billWA"/>
    <n v="10.76"/>
    <x v="0"/>
    <m/>
  </r>
  <r>
    <d v="2024-05-07T00:00:00"/>
    <s v="Uber"/>
    <n v="2.8"/>
    <x v="2"/>
    <m/>
  </r>
  <r>
    <d v="2024-05-07T00:00:00"/>
    <s v="THE HAIR BAR"/>
    <n v="13.45"/>
    <x v="1"/>
    <m/>
  </r>
  <r>
    <d v="2024-05-09T00:00:00"/>
    <s v="AMAZON.COM SEATTLE WA"/>
    <n v="27.38"/>
    <x v="0"/>
    <m/>
  </r>
  <r>
    <d v="2024-05-13T00:00:00"/>
    <s v="Google Photos"/>
    <n v="-2.99"/>
    <x v="0"/>
    <m/>
  </r>
  <r>
    <d v="2024-05-14T00:00:00"/>
    <s v="NordVPN"/>
    <n v="12.99"/>
    <x v="0"/>
    <m/>
  </r>
  <r>
    <d v="2024-05-14T00:00:00"/>
    <s v="Canva"/>
    <n v="14.99"/>
    <x v="0"/>
    <m/>
  </r>
  <r>
    <d v="2024-05-20T00:00:00"/>
    <s v="Amazon Marketplace"/>
    <n v="165.07"/>
    <x v="0"/>
    <m/>
  </r>
  <r>
    <d v="2024-05-20T00:00:00"/>
    <s v="iCloud"/>
    <n v="2.99"/>
    <x v="1"/>
    <m/>
  </r>
  <r>
    <d v="2024-05-20T00:00:00"/>
    <s v="Amateur Riders Club"/>
    <n v="61.93"/>
    <x v="3"/>
    <m/>
  </r>
  <r>
    <d v="2024-06-03T00:00:00"/>
    <s v="DisneyPlus"/>
    <n v="14.99"/>
    <x v="1"/>
    <m/>
  </r>
  <r>
    <d v="2024-06-04T00:00:00"/>
    <s v="SP HYDROVIV H2O HTTPSHYDROVIVDC"/>
    <n v="185.74"/>
    <x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d v="2024-07-01T00:00:00"/>
    <s v="Disney Plus"/>
    <n v="-14.99"/>
    <n v="14.99"/>
    <x v="0"/>
    <s v="Credit Card - Ending in 7288"/>
  </r>
  <r>
    <d v="2024-07-01T00:00:00"/>
    <s v="Dollar Power"/>
    <n v="-1.25"/>
    <n v="1.25"/>
    <x v="1"/>
    <s v="Venture X - Ending in 0381"/>
  </r>
  <r>
    <d v="2024-07-01T00:00:00"/>
    <s v="Esso"/>
    <n v="-75"/>
    <n v="75"/>
    <x v="1"/>
    <s v="Venture X - Ending in 0381"/>
  </r>
  <r>
    <d v="2024-07-01T00:00:00"/>
    <s v="Bahn Thai Restaurant"/>
    <n v="-34.24"/>
    <n v="34.24"/>
    <x v="2"/>
    <s v="Venture X - Ending in 0381"/>
  </r>
  <r>
    <d v="2024-07-01T00:00:00"/>
    <s v="Tim Hortons"/>
    <n v="-14.24"/>
    <n v="14.33"/>
    <x v="2"/>
    <s v="Venture X - Ending in 0381"/>
  </r>
  <r>
    <d v="2024-07-02T00:00:00"/>
    <s v="Kettleman's Bagel Trainya"/>
    <n v="-14.96"/>
    <n v="14.96"/>
    <x v="2"/>
    <s v="Venture X - Ending in 0381"/>
  </r>
  <r>
    <d v="2024-07-02T00:00:00"/>
    <s v="Delta Air Lines"/>
    <n v="-59.09"/>
    <n v="59.09"/>
    <x v="3"/>
    <s v="Delta Skymiles Platinum Card ( X ) - Ending in 1003"/>
  </r>
  <r>
    <d v="2024-07-03T00:00:00"/>
    <s v="7-eleven"/>
    <n v="-5.82"/>
    <n v="5.82"/>
    <x v="4"/>
    <s v="Credit Card ( ) - Ending in 9734"/>
  </r>
  <r>
    <d v="2024-07-03T00:00:00"/>
    <s v="Best Buy"/>
    <n v="-92.31"/>
    <n v="92.31"/>
    <x v="1"/>
    <s v="Venture X - Ending in 0381"/>
  </r>
  <r>
    <d v="2024-07-04T00:00:00"/>
    <s v="Target"/>
    <n v="-5.96"/>
    <n v="5.96"/>
    <x v="4"/>
    <s v="Venture X - Ending in 0381"/>
  </r>
  <r>
    <d v="2024-07-04T00:00:00"/>
    <s v="Target"/>
    <n v="-33.08"/>
    <n v="33.08"/>
    <x v="4"/>
    <s v="Venture X - Ending in 0381"/>
  </r>
  <r>
    <d v="2024-07-04T00:00:00"/>
    <s v="Yyz El Catrin T3 Tb"/>
    <n v="-12.78"/>
    <n v="12.78"/>
    <x v="5"/>
    <s v="Venture X - Ending in 0381"/>
  </r>
  <r>
    <d v="2024-07-04T00:00:00"/>
    <s v="Bagel Boss"/>
    <n v="-8.94"/>
    <n v="8.94"/>
    <x v="2"/>
    <s v="Venture X - Ending in 0381"/>
  </r>
  <r>
    <d v="2024-07-04T00:00:00"/>
    <s v="Uber"/>
    <n v="-10.97"/>
    <n v="10.97"/>
    <x v="3"/>
    <s v="Delta Skymiles Platinum Card ( X ) - Ending in 1003"/>
  </r>
  <r>
    <d v="2024-07-05T00:00:00"/>
    <s v="Tst* Bagelafe"/>
    <n v="-5.97"/>
    <n v="5.97"/>
    <x v="2"/>
    <s v="Venture X - Ending in 0381"/>
  </r>
  <r>
    <d v="2024-07-08T00:00:00"/>
    <s v="United"/>
    <n v="-0.9"/>
    <n v="0.9"/>
    <x v="3"/>
    <s v="Credit Card ( ) - Ending in 9734"/>
  </r>
  <r>
    <d v="2024-07-09T00:00:00"/>
    <s v="Pizzaro`s"/>
    <n v="-25.19"/>
    <n v="25.19"/>
    <x v="2"/>
    <s v="Credit Card ( ) - Ending in 9734"/>
  </r>
  <r>
    <d v="2024-07-09T00:00:00"/>
    <s v="Delta Air Lines"/>
    <n v="-302.08"/>
    <n v="302.08"/>
    <x v="3"/>
    <s v="Delta Skymiles Platinum Card ( X ) - Ending in 1003"/>
  </r>
  <r>
    <d v="2024-07-09T00:00:00"/>
    <s v="Delta Air Lines"/>
    <n v="302.08"/>
    <n v="302.08"/>
    <x v="3"/>
    <s v="Delta Skymiles Platinum Card ( X ) - Ending in 1003"/>
  </r>
  <r>
    <d v="2024-07-11T00:00:00"/>
    <s v="Apple.com"/>
    <n v="-2.99"/>
    <n v="2.99"/>
    <x v="0"/>
    <s v="Credit Card - Ending in 7288"/>
  </r>
  <r>
    <d v="2024-07-11T00:00:00"/>
    <s v="Pizzaro`s"/>
    <n v="-3.84"/>
    <n v="3.84"/>
    <x v="2"/>
    <s v="Venture X - Ending in 0381"/>
  </r>
  <r>
    <d v="2024-07-12T00:00:00"/>
    <s v="Amazon"/>
    <n v="-23.88"/>
    <n v="23.88"/>
    <x v="1"/>
    <s v="Credit Card - Ending in 7288"/>
  </r>
  <r>
    <d v="2024-07-12T00:00:00"/>
    <s v="Whole Foods Market"/>
    <n v="-6.49"/>
    <n v="6.49"/>
    <x v="4"/>
    <s v="Venture X - Ending in 0381"/>
  </r>
  <r>
    <d v="2024-07-13T00:00:00"/>
    <s v="Target"/>
    <n v="-70.48"/>
    <n v="70.48"/>
    <x v="4"/>
    <s v="Venture X - Ending in 0381"/>
  </r>
  <r>
    <d v="2024-07-13T00:00:00"/>
    <s v="Trader Joe's"/>
    <n v="-27.49"/>
    <n v="27.49"/>
    <x v="4"/>
    <s v="Venture X - Ending in 0381"/>
  </r>
  <r>
    <d v="2024-07-14T00:00:00"/>
    <s v="Nordvpn"/>
    <n v="-12.99"/>
    <n v="12.99"/>
    <x v="0"/>
    <s v="Credit Card ( ) - Ending in 9734"/>
  </r>
  <r>
    <d v="2024-07-14T00:00:00"/>
    <s v="Uber"/>
    <n v="-10.18"/>
    <n v="10.18"/>
    <x v="3"/>
    <s v="Delta Skymiles Platinum Card ( X ) - Ending in 1003"/>
  </r>
  <r>
    <d v="2024-07-15T00:00:00"/>
    <s v="Walmart"/>
    <n v="-32"/>
    <n v="32"/>
    <x v="4"/>
    <s v="Venture X - Ending in 0381"/>
  </r>
  <r>
    <d v="2024-07-15T00:00:00"/>
    <s v="Target"/>
    <n v="-22.99"/>
    <n v="22.99"/>
    <x v="4"/>
    <s v="Venture X - Ending in 0381"/>
  </r>
  <r>
    <d v="2024-07-15T00:00:00"/>
    <s v="Target"/>
    <n v="-8.89"/>
    <n v="8.89"/>
    <x v="4"/>
    <s v="Venture X - Ending in 0381"/>
  </r>
  <r>
    <d v="2024-07-16T00:00:00"/>
    <s v="Uber"/>
    <n v="-3.24"/>
    <n v="3.24"/>
    <x v="3"/>
    <s v="Delta Skymiles Platinum Card ( X ) - Ending in 1003"/>
  </r>
  <r>
    <d v="2024-07-17T00:00:00"/>
    <s v="Deli Fresh"/>
    <n v="-20.350000000000001"/>
    <n v="20.350000000000001"/>
    <x v="6"/>
    <s v="Venture X - Ending in 0381"/>
  </r>
  <r>
    <d v="2024-07-19T00:00:00"/>
    <s v="Apple.com"/>
    <n v="-2.99"/>
    <n v="2.99"/>
    <x v="0"/>
    <s v="Credit Card - Ending in 7288"/>
  </r>
  <r>
    <d v="2024-07-25T00:00:00"/>
    <s v="Uber"/>
    <n v="-3.9"/>
    <n v="3.9"/>
    <x v="3"/>
    <s v="Delta Skymiles Platinum Card ( X ) - Ending in 1003"/>
  </r>
  <r>
    <d v="2024-07-25T00:00:00"/>
    <s v="Uber"/>
    <n v="-4.33"/>
    <n v="4.33"/>
    <x v="3"/>
    <s v="Delta Skymiles Platinum Card ( X ) - Ending in 1003"/>
  </r>
  <r>
    <d v="2024-07-25T00:00:00"/>
    <s v="Uber"/>
    <n v="-3.37"/>
    <n v="3.37"/>
    <x v="3"/>
    <s v="Delta Skymiles Platinum Card ( X ) - Ending in 1003"/>
  </r>
  <r>
    <d v="2024-07-26T00:00:00"/>
    <s v="Foo"/>
    <n v="-155.27000000000001"/>
    <n v="19.408750000000001"/>
    <x v="2"/>
    <s v="Venture X - Ending in 0381"/>
  </r>
  <r>
    <d v="2024-07-27T00:00:00"/>
    <s v="Gustoso"/>
    <n v="-12.97"/>
    <n v="12.97"/>
    <x v="2"/>
    <s v="Venture X - Ending in 0381"/>
  </r>
  <r>
    <d v="2024-07-27T00:00:00"/>
    <s v="The Hair Bar"/>
    <n v="-40.92"/>
    <n v="20.46"/>
    <x v="0"/>
    <s v="Venture X - Ending in 0381"/>
  </r>
  <r>
    <d v="2024-07-28T00:00:00"/>
    <s v="Uber"/>
    <n v="-4.29"/>
    <n v="4.29"/>
    <x v="3"/>
    <s v="Delta Skymiles Platinum Card ( X ) - Ending in 1003"/>
  </r>
  <r>
    <d v="2024-07-29T00:00:00"/>
    <s v="The Nutcracker"/>
    <n v="-9.86"/>
    <n v="9.86"/>
    <x v="2"/>
    <s v="Venture X - Ending in 038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4-08-01T00:00:00"/>
    <s v="Disney Plus"/>
    <n v="-14.99"/>
    <n v="14.99"/>
    <x v="0"/>
    <s v="Credit Card - Ending in 7288"/>
  </r>
  <r>
    <d v="2024-08-03T00:00:00"/>
    <s v="Uber"/>
    <n v="-4.41"/>
    <n v="4.41"/>
    <x v="1"/>
    <s v="Delta Skymiles Platinum Card ( X ) - Ending in 1003"/>
  </r>
  <r>
    <d v="2024-08-05T00:00:00"/>
    <s v="SRA Stay"/>
    <n v="-120"/>
    <n v="120"/>
    <x v="2"/>
    <s v="Checking Account - Ending in 7017"/>
  </r>
  <r>
    <d v="2024-08-06T00:00:00"/>
    <s v="Uber"/>
    <n v="-3.57"/>
    <n v="3.57"/>
    <x v="1"/>
    <s v="Delta Skymiles Platinum Card ( X ) - Ending in 1003"/>
  </r>
  <r>
    <d v="2024-08-07T00:00:00"/>
    <s v="Amazon Marketplace"/>
    <n v="-96.96"/>
    <n v="96.96"/>
    <x v="3"/>
    <s v="Credit Card - Ending in 7288"/>
  </r>
  <r>
    <d v="2024-08-07T00:00:00"/>
    <s v="Apple.com"/>
    <n v="-9.51"/>
    <n v="9.51"/>
    <x v="0"/>
    <s v="Credit Card - Ending in 7288"/>
  </r>
  <r>
    <d v="2024-08-08T00:00:00"/>
    <s v="Uber"/>
    <n v="-2.38"/>
    <n v="2.38"/>
    <x v="1"/>
    <s v="Delta Skymiles Platinum Card ( X ) - Ending in 1003"/>
  </r>
  <r>
    <d v="2024-08-09T00:00:00"/>
    <s v="The Boys Store"/>
    <n v="-28.61"/>
    <n v="28.61"/>
    <x v="0"/>
    <s v="Venture X - Ending in 0381"/>
  </r>
  <r>
    <d v="2024-08-09T00:00:00"/>
    <s v="Gustoso"/>
    <n v="-16"/>
    <n v="16"/>
    <x v="4"/>
    <s v="Venture X - Ending in 0381"/>
  </r>
  <r>
    <d v="2024-08-09T00:00:00"/>
    <s v="Uber"/>
    <n v="-2.2200000000000002"/>
    <n v="2.2200000000000002"/>
    <x v="1"/>
    <s v="Delta Skymiles Platinum Card ( X ) - Ending in 1003"/>
  </r>
  <r>
    <d v="2024-08-12T00:00:00"/>
    <s v="Uber"/>
    <n v="-2.19"/>
    <n v="2.19"/>
    <x v="1"/>
    <s v="Delta Skymiles Platinum Card ( X ) - Ending in 1003"/>
  </r>
  <r>
    <d v="2024-08-12T00:00:00"/>
    <s v="Uber"/>
    <n v="-0.94"/>
    <n v="0.94"/>
    <x v="1"/>
    <s v="Delta Skymiles Platinum Card ( X ) - Ending in 1003"/>
  </r>
  <r>
    <d v="2024-08-14T00:00:00"/>
    <s v="Nordvpn"/>
    <n v="-12.99"/>
    <n v="12.99"/>
    <x v="3"/>
    <s v="Credit Card ( ) - Ending in 9734"/>
  </r>
  <r>
    <d v="2024-08-14T00:00:00"/>
    <s v="United"/>
    <n v="-150.4"/>
    <n v="150.4"/>
    <x v="2"/>
    <s v="Credit Card ( ) - Ending in 9734"/>
  </r>
  <r>
    <d v="2024-08-18T00:00:00"/>
    <s v="Apple.com"/>
    <n v="-2.99"/>
    <n v="2.99"/>
    <x v="3"/>
    <s v="Credit Card - Ending in 7288"/>
  </r>
  <r>
    <d v="2024-08-19T00:00:00"/>
    <s v="Aaa"/>
    <n v="-52.5"/>
    <n v="52.5"/>
    <x v="3"/>
    <s v="Credit Card - Ending in 7288"/>
  </r>
  <r>
    <d v="2024-08-24T00:00:00"/>
    <s v="Emirates"/>
    <n v="-12"/>
    <n v="12"/>
    <x v="2"/>
    <s v="Credit Card ( ) - Ending in 9734"/>
  </r>
  <r>
    <d v="2024-08-24T00:00:00"/>
    <s v="United"/>
    <n v="-48.99"/>
    <n v="48.99"/>
    <x v="2"/>
    <s v="Credit Card ( ) - Ending in 9734"/>
  </r>
  <r>
    <d v="2024-08-26T00:00:00"/>
    <s v="Delta Air Lines"/>
    <n v="-2.08"/>
    <n v="2.08"/>
    <x v="2"/>
    <s v="Delta Skymiles Platinum Card ( X ) - Ending in 1003"/>
  </r>
  <r>
    <d v="2024-08-28T00:00:00"/>
    <s v="Uber"/>
    <n v="-11.22"/>
    <n v="11.22"/>
    <x v="2"/>
    <s v="Delta Skymiles Platinum Card ( X ) - Ending in 1003"/>
  </r>
  <r>
    <d v="2024-08-29T00:00:00"/>
    <s v="Gustoso"/>
    <n v="-98.81"/>
    <n v="98.81"/>
    <x v="4"/>
    <s v="Venture X - Ending in 0381"/>
  </r>
  <r>
    <d v="2024-08-29T00:00:00"/>
    <s v="Uber"/>
    <n v="-4.34"/>
    <n v="4.34"/>
    <x v="1"/>
    <s v="Delta Skymiles Platinum Card ( X ) - Ending in 1003"/>
  </r>
  <r>
    <d v="2024-08-29T00:00:00"/>
    <s v="Uber"/>
    <n v="-2.65"/>
    <n v="2.65"/>
    <x v="1"/>
    <s v="Delta Skymiles Platinum Card ( X ) - Ending in 1003"/>
  </r>
  <r>
    <d v="2024-08-30T00:00:00"/>
    <s v="Foo"/>
    <n v="-150.6"/>
    <n v="18.824999999999999"/>
    <x v="4"/>
    <s v="Venture X - Ending in 038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d v="2024-09-01T00:00:00"/>
    <s v="Disney Plus"/>
    <n v="-14.99"/>
    <n v="14.99"/>
    <x v="0"/>
    <s v="Credit Card - Ending in 7288"/>
  </r>
  <r>
    <d v="2024-09-01T00:00:00"/>
    <s v="Uber"/>
    <n v="-3.24"/>
    <n v="3.24"/>
    <x v="1"/>
    <s v="Credit Card ( ) - Ending in 9734"/>
  </r>
  <r>
    <d v="2024-09-06T00:00:00"/>
    <s v="Capital One"/>
    <n v="-395"/>
    <n v="95"/>
    <x v="2"/>
    <s v="Venture X - Ending in 0381"/>
  </r>
  <r>
    <d v="2024-09-07T00:00:00"/>
    <s v="Apple.com"/>
    <n v="-9.99"/>
    <n v="9.99"/>
    <x v="0"/>
    <s v="Credit Card - Ending in 7288"/>
  </r>
  <r>
    <d v="2024-09-12T00:00:00"/>
    <s v="Amazon Marketplace"/>
    <n v="-58.17"/>
    <n v="58.17"/>
    <x v="2"/>
    <s v="Credit Card - Ending in 7288"/>
  </r>
  <r>
    <d v="2024-09-12T00:00:00"/>
    <s v="Banana Republic"/>
    <n v="-150"/>
    <n v="150"/>
    <x v="2"/>
    <s v="Venture X - Ending in 0381"/>
  </r>
  <r>
    <d v="2024-09-13T00:00:00"/>
    <s v="Amazon Marketplace"/>
    <n v="-66.73"/>
    <n v="66.73"/>
    <x v="2"/>
    <s v="Credit Card - Ending in 7288"/>
  </r>
  <r>
    <d v="2024-09-14T00:00:00"/>
    <s v="Target"/>
    <n v="-59.74"/>
    <n v="59.74"/>
    <x v="3"/>
    <s v="Credit Card - Ending in 7288"/>
  </r>
  <r>
    <d v="2024-09-14T00:00:00"/>
    <s v="Orangetheory Fitness"/>
    <n v="-129"/>
    <n v="129"/>
    <x v="2"/>
    <s v="Credit Card ( ) - Ending in 9734"/>
  </r>
  <r>
    <d v="2024-09-14T00:00:00"/>
    <s v="Nordvpn"/>
    <n v="-12.99"/>
    <n v="12.99"/>
    <x v="0"/>
    <s v="Credit Card ( ) - Ending in 9734"/>
  </r>
  <r>
    <d v="2024-09-15T00:00:00"/>
    <s v="Amazon Marketplace"/>
    <n v="-289.08999999999997"/>
    <n v="289.08999999999997"/>
    <x v="2"/>
    <s v="Credit Card - Ending in 7288"/>
  </r>
  <r>
    <d v="2024-09-16T00:00:00"/>
    <s v="Trader Joe's"/>
    <n v="-28.26"/>
    <n v="28.26"/>
    <x v="3"/>
    <s v="Venture X - Ending in 0381"/>
  </r>
  <r>
    <d v="2024-09-16T00:00:00"/>
    <s v="Adidas"/>
    <n v="-18.86"/>
    <n v="18.86"/>
    <x v="2"/>
    <s v="Venture X - Ending in 0381"/>
  </r>
  <r>
    <d v="2024-09-16T00:00:00"/>
    <s v="Sprouts Farmers Market"/>
    <n v="-55.43"/>
    <n v="55.43"/>
    <x v="3"/>
    <s v="Venture X - Ending in 0381"/>
  </r>
  <r>
    <d v="2024-09-16T00:00:00"/>
    <s v="Trader Joe's"/>
    <n v="-28.98"/>
    <n v="28.98"/>
    <x v="3"/>
    <s v="Venture X - Ending in 0381"/>
  </r>
  <r>
    <d v="2024-09-17T00:00:00"/>
    <s v="HBO Max"/>
    <n v="-9.99"/>
    <n v="9.99"/>
    <x v="0"/>
    <s v="Venture X - Ending in 0381"/>
  </r>
  <r>
    <d v="2024-09-18T00:00:00"/>
    <s v="VENMO"/>
    <n v="-1.99"/>
    <n v="1.99"/>
    <x v="0"/>
    <s v="Credit Card - Ending in 7288"/>
  </r>
  <r>
    <d v="2024-09-18T00:00:00"/>
    <s v="Apple.com"/>
    <n v="-2.99"/>
    <n v="2.99"/>
    <x v="0"/>
    <s v="Credit Card - Ending in 7288"/>
  </r>
  <r>
    <d v="2024-09-19T00:00:00"/>
    <s v="VENMO"/>
    <n v="-5"/>
    <n v="5"/>
    <x v="0"/>
    <s v="Credit Card - Ending in 7288"/>
  </r>
  <r>
    <d v="2024-09-21T00:00:00"/>
    <s v="Carlsbad Ranch Market"/>
    <n v="-14.28"/>
    <n v="14.28"/>
    <x v="3"/>
    <s v="Venture X - Ending in 0381"/>
  </r>
  <r>
    <d v="2024-09-21T00:00:00"/>
    <s v="Top of the Bagel"/>
    <n v="-11.8"/>
    <n v="11.8"/>
    <x v="4"/>
    <s v="Venture X - Ending in 0381"/>
  </r>
  <r>
    <d v="2024-09-25T00:00:00"/>
    <s v="Staples"/>
    <n v="-4.29"/>
    <n v="4.29"/>
    <x v="2"/>
    <s v="Venture X - Ending in 0381"/>
  </r>
  <r>
    <d v="2024-09-29T00:00:00"/>
    <s v="Delta Air Lines"/>
    <n v="-5.6"/>
    <n v="5.6"/>
    <x v="1"/>
    <s v="Delta Skymiles Platinum Card ( X ) - Ending in 1003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24-11-04T00:00:00"/>
    <s v="Garden State Bagels"/>
    <n v="-18.98"/>
    <n v="18.98"/>
    <x v="0"/>
    <s v="Venture X - Ending in 0381"/>
  </r>
  <r>
    <d v="2024-11-04T00:00:00"/>
    <s v="Vons"/>
    <n v="-9.48"/>
    <n v="9.48"/>
    <x v="1"/>
    <s v="Venture X - Ending in 0381"/>
  </r>
  <r>
    <d v="2024-11-05T00:00:00"/>
    <s v="Sprouts Farmers Market"/>
    <n v="-11.77"/>
    <n v="11.77"/>
    <x v="1"/>
    <s v="Venture X - Ending in 0381"/>
  </r>
  <r>
    <d v="2024-11-05T00:00:00"/>
    <s v="Tamarack Hair And Nails"/>
    <n v="-23"/>
    <n v="23"/>
    <x v="2"/>
    <s v="Venture X - Ending in 0381"/>
  </r>
  <r>
    <d v="2024-11-07T00:00:00"/>
    <s v="Apple"/>
    <n v="-9.99"/>
    <n v="9.99"/>
    <x v="3"/>
    <s v="Credit Card - Ending in 7288"/>
  </r>
  <r>
    <d v="2024-11-09T00:00:00"/>
    <s v="Olio Wood Fired Pizze"/>
    <n v="-12.04"/>
    <n v="12.04"/>
    <x v="0"/>
    <s v="Credit Card ( ) - Ending in 9734"/>
  </r>
  <r>
    <d v="2024-11-09T00:00:00"/>
    <s v="Donut Friend Dtla"/>
    <n v="-48.87"/>
    <n v="4.0724999999999998"/>
    <x v="0"/>
    <s v="Credit Card ( ) - Ending in 9734"/>
  </r>
  <r>
    <d v="2024-11-09T00:00:00"/>
    <s v="Walmart"/>
    <n v="-29.75"/>
    <n v="14.875"/>
    <x v="1"/>
    <s v="Venture X - Ending in 0381"/>
  </r>
  <r>
    <d v="2024-11-11T00:00:00"/>
    <s v="The Red Dot Vegetarian Restaurant PMC"/>
    <n v="-339.8"/>
    <n v="19.988235294117647"/>
    <x v="0"/>
    <s v="Credit Card ( ) - Ending in 9734"/>
  </r>
  <r>
    <d v="2024-11-11T00:00:00"/>
    <s v="Trader Joe's"/>
    <n v="-55.04"/>
    <n v="3.2376470588235295"/>
    <x v="1"/>
    <s v="Venture X - Ending in 0381"/>
  </r>
  <r>
    <d v="2024-11-11T00:00:00"/>
    <s v="Sprouts Farmers Market"/>
    <n v="-40.200000000000003"/>
    <n v="40.200000000000003"/>
    <x v="1"/>
    <s v="Venture X - Ending in 0381"/>
  </r>
  <r>
    <d v="2024-11-11T00:00:00"/>
    <s v="Trader Joe's"/>
    <n v="-2.79"/>
    <n v="2.79"/>
    <x v="1"/>
    <s v="Venture X - Ending in 0381"/>
  </r>
  <r>
    <d v="2024-11-11T00:00:00"/>
    <s v="Sprouts Farmers Market"/>
    <n v="-12.09"/>
    <n v="12.09"/>
    <x v="1"/>
    <s v="Venture X - Ending in 0381"/>
  </r>
  <r>
    <d v="2024-11-11T00:00:00"/>
    <s v="Trader Joe's"/>
    <n v="-4.49"/>
    <n v="4.49"/>
    <x v="1"/>
    <s v="Venture X - Ending in 0381"/>
  </r>
  <r>
    <d v="2024-11-12T00:00:00"/>
    <s v="Pem Xpress"/>
    <n v="-45.65"/>
    <n v="45.65"/>
    <x v="2"/>
    <s v="Venture X - Ending in 0381"/>
  </r>
  <r>
    <d v="2024-11-12T00:00:00"/>
    <s v="Ladot"/>
    <n v="-1"/>
    <n v="1"/>
    <x v="4"/>
    <s v="Venture X - Ending in 0381"/>
  </r>
  <r>
    <d v="2024-11-14T00:00:00"/>
    <s v="Ucla Restaurants"/>
    <n v="-23"/>
    <n v="23"/>
    <x v="0"/>
    <s v="Credit Card ( ) - Ending in 9734"/>
  </r>
  <r>
    <d v="2024-11-15T00:00:00"/>
    <s v="Delta Air Lines"/>
    <n v="-303.48"/>
    <n v="303.48"/>
    <x v="4"/>
    <s v="Delta Skymiles Platinum Card - Ending in 1003"/>
  </r>
  <r>
    <d v="2024-11-16T00:00:00"/>
    <s v="Ucla Transportation Services"/>
    <n v="-16"/>
    <n v="16"/>
    <x v="4"/>
    <s v="Venture X - Ending in 0381"/>
  </r>
  <r>
    <d v="2024-11-18T00:00:00"/>
    <s v="Apple"/>
    <n v="-2.99"/>
    <n v="2.99"/>
    <x v="3"/>
    <s v="Credit Card - Ending in 7288"/>
  </r>
  <r>
    <d v="2024-11-18T00:00:00"/>
    <s v="Help.max.com"/>
    <n v="-9.99"/>
    <n v="9.99"/>
    <x v="3"/>
    <s v="Venture X - Ending in 0381"/>
  </r>
  <r>
    <d v="2024-11-18T00:00:00"/>
    <s v="Ebay"/>
    <n v="-12.88"/>
    <n v="12.88"/>
    <x v="2"/>
    <s v="Venture X - Ending in 0381"/>
  </r>
  <r>
    <d v="2024-11-18T00:00:00"/>
    <s v="Banana Republic"/>
    <n v="-112.01"/>
    <n v="112.01"/>
    <x v="5"/>
    <s v="Venture X - Ending in 0381"/>
  </r>
  <r>
    <d v="2024-11-19T00:00:00"/>
    <s v="Walmart"/>
    <n v="-24.44"/>
    <n v="24.44"/>
    <x v="2"/>
    <s v="Venture X - Ending in 0381"/>
  </r>
  <r>
    <d v="2024-11-19T00:00:00"/>
    <s v="Rei"/>
    <n v="-202.5"/>
    <n v="202.5"/>
    <x v="5"/>
    <s v="Venture X - Ending in 0381"/>
  </r>
  <r>
    <d v="2024-11-20T00:00:00"/>
    <s v="Rei"/>
    <n v="-130.87"/>
    <n v="130.87"/>
    <x v="5"/>
    <s v="Venture X - Ending in 0381"/>
  </r>
  <r>
    <d v="2024-11-21T00:00:00"/>
    <s v="Sprouts Farmers Market"/>
    <n v="-5.24"/>
    <n v="5.24"/>
    <x v="1"/>
    <s v="Venture X - Ending in 0381"/>
  </r>
  <r>
    <d v="2024-11-25T00:00:00"/>
    <s v="Dunkin' Donuts"/>
    <n v="-9.26"/>
    <n v="9.26"/>
    <x v="0"/>
    <s v="Credit Card ( ) - Ending in 9734"/>
  </r>
  <r>
    <d v="2024-11-25T00:00:00"/>
    <s v="Dunkin' Donuts"/>
    <n v="-5.43"/>
    <n v="5.43"/>
    <x v="0"/>
    <s v="Credit Card ( ) - Ending in 973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4-12-01T00:00:00"/>
    <s v="Sababa Falafel Shop"/>
    <n v="-15.87"/>
    <n v="15.87"/>
    <x v="0"/>
    <s v="Credit Card ( ) - Ending in 9734"/>
  </r>
  <r>
    <d v="2024-12-02T00:00:00"/>
    <s v="West Elm"/>
    <n v="-121.76"/>
    <n v="121.76"/>
    <x v="1"/>
    <s v="Credit Card - Ending in 7288"/>
  </r>
  <r>
    <d v="2024-12-02T00:00:00"/>
    <s v="Trader Joe's"/>
    <n v="-20.63"/>
    <n v="20.63"/>
    <x v="2"/>
    <s v="Venture X - Ending in 0381"/>
  </r>
  <r>
    <d v="2024-12-02T00:00:00"/>
    <s v="Sprouts Farmers Market"/>
    <n v="-9.32"/>
    <n v="9.32"/>
    <x v="2"/>
    <s v="Venture X - Ending in 0381"/>
  </r>
  <r>
    <d v="2024-12-03T00:00:00"/>
    <s v="Nike"/>
    <n v="-21.12"/>
    <n v="21.12"/>
    <x v="3"/>
    <s v="Credit Card ( ) - Ending in 9734"/>
  </r>
  <r>
    <d v="2024-12-04T00:00:00"/>
    <s v="Nike"/>
    <n v="-21.12"/>
    <n v="21.12"/>
    <x v="3"/>
    <s v="Venture X - Ending in 0381"/>
  </r>
  <r>
    <d v="2024-12-05T00:00:00"/>
    <s v="Southwest: SAN-LGA"/>
    <n v="-257.98"/>
    <n v="257.98"/>
    <x v="4"/>
    <s v="Venture X - Ending in 0381"/>
  </r>
  <r>
    <d v="2024-12-06T00:00:00"/>
    <s v="Macy's"/>
    <n v="-42.8"/>
    <n v="42.8"/>
    <x v="3"/>
    <s v="Credit Card - Ending in 7288"/>
  </r>
  <r>
    <d v="2024-12-06T00:00:00"/>
    <s v="Teva (VD)"/>
    <n v="-28.01"/>
    <n v="28.01"/>
    <x v="1"/>
    <s v="Credit Card - Ending in 7288"/>
  </r>
  <r>
    <d v="2024-12-07T00:00:00"/>
    <s v="Calvin Klein"/>
    <n v="-103.1"/>
    <n v="103.1"/>
    <x v="3"/>
    <s v="Venture X - Ending in 0381"/>
  </r>
  <r>
    <d v="2024-12-08T00:00:00"/>
    <s v="Apple"/>
    <n v="-9.99"/>
    <n v="9.99"/>
    <x v="5"/>
    <s v="Credit Card - Ending in 7288"/>
  </r>
  <r>
    <d v="2024-12-09T00:00:00"/>
    <s v="Macy's"/>
    <n v="-16.940000000000001"/>
    <n v="16.940000000000001"/>
    <x v="3"/>
    <s v="Venture X - Ending in 0381"/>
  </r>
  <r>
    <d v="2024-12-09T00:00:00"/>
    <s v="Jcpenney"/>
    <n v="-119.95"/>
    <n v="119.95"/>
    <x v="3"/>
    <s v="Venture X - Ending in 0381"/>
  </r>
  <r>
    <d v="2024-12-09T00:00:00"/>
    <s v="Macy's"/>
    <n v="-71.38"/>
    <n v="71.38"/>
    <x v="3"/>
    <s v="Venture X - Ending in 0381"/>
  </r>
  <r>
    <d v="2024-12-09T00:00:00"/>
    <s v="Ross Stores"/>
    <n v="-18.309999999999999"/>
    <n v="18.309999999999999"/>
    <x v="3"/>
    <s v="Venture X - Ending in 0381"/>
  </r>
  <r>
    <d v="2024-12-09T00:00:00"/>
    <s v="Skechers"/>
    <n v="-51.16"/>
    <n v="51.16"/>
    <x v="3"/>
    <s v="Venture X - Ending in 0381"/>
  </r>
  <r>
    <d v="2024-12-10T00:00:00"/>
    <s v="City Market Food Hall"/>
    <n v="-22.16"/>
    <n v="22.16"/>
    <x v="2"/>
    <s v="Credit Card ( ) - Ending in 9734"/>
  </r>
  <r>
    <d v="2024-12-10T00:00:00"/>
    <s v="Roasters"/>
    <n v="-7.38"/>
    <n v="7.38"/>
    <x v="2"/>
    <s v="Credit Card ( ) - Ending in 9734"/>
  </r>
  <r>
    <d v="2024-12-10T00:00:00"/>
    <s v="Walmart"/>
    <n v="-101.51"/>
    <n v="101.51"/>
    <x v="2"/>
    <s v="Venture X - Ending in 0381"/>
  </r>
  <r>
    <d v="2024-12-11T00:00:00"/>
    <s v="Lyft"/>
    <n v="-43.25"/>
    <n v="43.25"/>
    <x v="4"/>
    <s v="Credit Card ( ) - Ending in 9734"/>
  </r>
  <r>
    <d v="2024-12-12T00:00:00"/>
    <s v="Uber"/>
    <n v="-10.9"/>
    <n v="10.9"/>
    <x v="4"/>
    <s v="Credit Card ( ) - Ending in 9734"/>
  </r>
  <r>
    <d v="2024-12-14T00:00:00"/>
    <s v="Gustoso"/>
    <n v="-9.3000000000000007"/>
    <n v="9.3000000000000007"/>
    <x v="6"/>
    <s v="Credit Card ( ) - Ending in 9734"/>
  </r>
  <r>
    <d v="2024-12-15T00:00:00"/>
    <s v="Gustoso"/>
    <n v="-44.64"/>
    <n v="14.88"/>
    <x v="6"/>
    <s v="Credit Card ( ) - Ending in 9734"/>
  </r>
  <r>
    <d v="2024-12-17T00:00:00"/>
    <s v="Help.max.com"/>
    <n v="-2.99"/>
    <n v="2.99"/>
    <x v="5"/>
    <s v="Venture X - Ending in 0381"/>
  </r>
  <r>
    <d v="2024-12-18T00:00:00"/>
    <s v="Apple"/>
    <n v="-2.99"/>
    <n v="2.99"/>
    <x v="5"/>
    <s v="Credit Card - Ending in 7288"/>
  </r>
  <r>
    <d v="2024-12-18T00:00:00"/>
    <s v="Shrimad Rajchandra Div"/>
    <n v="-6.37"/>
    <n v="6.37"/>
    <x v="0"/>
    <s v="Venture X - Ending in 0381"/>
  </r>
  <r>
    <d v="2024-12-21T00:00:00"/>
    <s v="Amazon Marketplace"/>
    <n v="-28.23"/>
    <n v="28.23"/>
    <x v="1"/>
    <s v="Credit Card - Ending in 7288"/>
  </r>
  <r>
    <d v="2024-12-21T00:00:00"/>
    <s v="Shrimad Rajchandra Div"/>
    <n v="-0.47"/>
    <n v="13.33"/>
    <x v="0"/>
    <s v="Venture X - Ending in 038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4-10-01T00:00:00"/>
    <s v="Banana Republic"/>
    <n v="-171.65"/>
    <n v="85.825000000000003"/>
    <x v="0"/>
    <s v="Venture X - Ending in 0381"/>
  </r>
  <r>
    <d v="2024-10-02T00:00:00"/>
    <s v="Taco Bell"/>
    <n v="-12.37"/>
    <n v="6.1849999999999996"/>
    <x v="1"/>
    <s v="Credit Card ( ) - Ending in 9734"/>
  </r>
  <r>
    <d v="2024-10-05T00:00:00"/>
    <s v="Garden State Bagels"/>
    <n v="-12.22"/>
    <n v="6.11"/>
    <x v="1"/>
    <s v="Credit Card ( ) - Ending in 9734"/>
  </r>
  <r>
    <d v="2024-10-05T00:00:00"/>
    <s v="Nekter Juice Bar"/>
    <n v="-11.39"/>
    <n v="5.6950000000000003"/>
    <x v="1"/>
    <s v="Credit Card ( ) - Ending in 9734"/>
  </r>
  <r>
    <d v="2024-10-05T00:00:00"/>
    <s v="Miramar Cash &amp; Carry"/>
    <n v="-42.11"/>
    <n v="21.055"/>
    <x v="2"/>
    <s v="Venture X - Ending in 0381"/>
  </r>
  <r>
    <d v="2024-10-07T00:00:00"/>
    <s v="Apple"/>
    <n v="-9.99"/>
    <n v="4.9950000000000001"/>
    <x v="3"/>
    <s v="Credit Card - Ending in 7288"/>
  </r>
  <r>
    <d v="2024-10-08T00:00:00"/>
    <s v="Polished"/>
    <n v="-28.28"/>
    <n v="14.14"/>
    <x v="0"/>
    <s v="Credit Card - Ending in 7288"/>
  </r>
  <r>
    <d v="2024-10-08T00:00:00"/>
    <s v="Sprouts Farmers Market"/>
    <n v="-20.32"/>
    <n v="10.16"/>
    <x v="2"/>
    <s v="Venture X - Ending in 0381"/>
  </r>
  <r>
    <d v="2024-10-09T00:00:00"/>
    <s v="Taco Bell"/>
    <n v="-12.15"/>
    <n v="6.0750000000000002"/>
    <x v="1"/>
    <s v="Credit Card ( ) - Ending in 9734"/>
  </r>
  <r>
    <d v="2024-10-12T00:00:00"/>
    <s v="Chipotle Mexican Grill"/>
    <n v="-11.42"/>
    <n v="5.71"/>
    <x v="1"/>
    <s v="Credit Card ( ) - Ending in 9734"/>
  </r>
  <r>
    <d v="2024-10-13T00:00:00"/>
    <s v="Orangetheory Fitness"/>
    <n v="-129"/>
    <n v="64.5"/>
    <x v="3"/>
    <s v="Credit Card ( ) - Ending in 9734"/>
  </r>
  <r>
    <d v="2024-10-13T00:00:00"/>
    <s v="Nike"/>
    <n v="-258.54000000000002"/>
    <n v="129.27000000000001"/>
    <x v="0"/>
    <s v="Credit Card - Ending in 7288"/>
  </r>
  <r>
    <d v="2024-10-14T00:00:00"/>
    <s v="Banana Republic"/>
    <n v="-40.729999999999997"/>
    <n v="20.364999999999998"/>
    <x v="0"/>
    <s v="Venture X - Ending in 0381"/>
  </r>
  <r>
    <d v="2024-10-14T00:00:00"/>
    <s v="Delta Air Lines"/>
    <n v="-115.36"/>
    <n v="57.68"/>
    <x v="4"/>
    <s v="Delta Skymiles Platinum Card - Ending in 1003"/>
  </r>
  <r>
    <d v="2024-10-14T00:00:00"/>
    <s v="Denault's Hardware 7"/>
    <n v="-2.9"/>
    <n v="1.45"/>
    <x v="3"/>
    <s v="Venture X - Ending in 0381"/>
  </r>
  <r>
    <d v="2024-10-14T00:00:00"/>
    <s v="Delta Air Lines"/>
    <n v="-188.48"/>
    <n v="94.24"/>
    <x v="4"/>
    <s v="Delta Skymiles Platinum Card - Ending in 1003"/>
  </r>
  <r>
    <d v="2024-10-14T00:00:00"/>
    <s v="Delta Air Lines"/>
    <n v="-44.6"/>
    <n v="22.3"/>
    <x v="4"/>
    <s v="Delta Skymiles Platinum Card - Ending in 1003"/>
  </r>
  <r>
    <d v="2024-10-15T00:00:00"/>
    <s v="Delta Air Lines"/>
    <n v="-127.26"/>
    <n v="63.63"/>
    <x v="4"/>
    <s v="Delta Skymiles Platinum Card - Ending in 1003"/>
  </r>
  <r>
    <d v="2024-10-16T00:00:00"/>
    <s v="Delta Air Lines"/>
    <n v="-358.96"/>
    <n v="179.48"/>
    <x v="4"/>
    <s v="Delta Skymiles Platinum Card - Ending in 1003"/>
  </r>
  <r>
    <d v="2024-10-17T00:00:00"/>
    <s v="Sprouts Farmers Market"/>
    <n v="-6.34"/>
    <n v="3.17"/>
    <x v="2"/>
    <s v="Credit Card ( ) - Ending in 9734"/>
  </r>
  <r>
    <d v="2024-10-17T00:00:00"/>
    <s v="Help.max.com"/>
    <n v="-9.99"/>
    <n v="4.9950000000000001"/>
    <x v="3"/>
    <s v="Venture X - Ending in 0381"/>
  </r>
  <r>
    <d v="2024-10-18T00:00:00"/>
    <s v="Apple"/>
    <n v="-2.99"/>
    <n v="1.4950000000000001"/>
    <x v="5"/>
    <s v="Credit Card - Ending in 7288"/>
  </r>
  <r>
    <d v="2024-10-19T00:00:00"/>
    <s v="Taco Bell"/>
    <n v="-13.23"/>
    <n v="6.6150000000000002"/>
    <x v="1"/>
    <s v="Credit Card ( ) - Ending in 9734"/>
  </r>
  <r>
    <d v="2024-10-20T00:00:00"/>
    <s v="Handel's Homemade Ice Cream"/>
    <n v="-14.84"/>
    <n v="7.42"/>
    <x v="1"/>
    <s v="Credit Card ( ) - Ending in 9734"/>
  </r>
  <r>
    <d v="2024-10-22T00:00:00"/>
    <s v="Ace Hardware"/>
    <n v="-3.21"/>
    <n v="1.605"/>
    <x v="0"/>
    <s v="Credit Card - Ending in 7288"/>
  </r>
  <r>
    <d v="2024-10-22T00:00:00"/>
    <s v="Cvs Pharmacy"/>
    <n v="-6.45"/>
    <n v="3.2250000000000001"/>
    <x v="3"/>
    <s v="Venture X - Ending in 0381"/>
  </r>
  <r>
    <d v="2024-10-22T00:00:00"/>
    <s v="GasBuddy"/>
    <n v="-30.35"/>
    <n v="15.175000000000001"/>
    <x v="3"/>
    <s v="Checking Account - Ending in 7017"/>
  </r>
  <r>
    <d v="2024-10-23T00:00:00"/>
    <s v="Nekter Juice Bar"/>
    <n v="-11.39"/>
    <n v="5.6950000000000003"/>
    <x v="1"/>
    <s v="Credit Card ( ) - Ending in 9734"/>
  </r>
  <r>
    <d v="2024-10-23T00:00:00"/>
    <s v="Ebay"/>
    <n v="-62.24"/>
    <n v="31.12"/>
    <x v="0"/>
    <s v="Credit Card - Ending in 7288"/>
  </r>
  <r>
    <d v="2024-10-23T00:00:00"/>
    <s v="Sprouts Farmers Market"/>
    <n v="-3.29"/>
    <n v="1.645"/>
    <x v="2"/>
    <s v="Venture X - Ending in 0381"/>
  </r>
  <r>
    <d v="2024-10-23T00:00:00"/>
    <s v="Sprouts Farmers Market"/>
    <n v="-20.11"/>
    <n v="10.055"/>
    <x v="2"/>
    <s v="Venture X - Ending in 0381"/>
  </r>
  <r>
    <d v="2024-10-27T00:00:00"/>
    <s v="Airbnb"/>
    <n v="-2163.8200000000002"/>
    <n v="1081.9100000000001"/>
    <x v="6"/>
    <s v="Credit Card - Ending in 7288"/>
  </r>
  <r>
    <d v="2024-10-28T00:00:00"/>
    <s v="Sprouts Farmers Market"/>
    <n v="-5.48"/>
    <n v="2.74"/>
    <x v="2"/>
    <s v="Venture X - Ending in 0381"/>
  </r>
  <r>
    <d v="2024-10-28T00:00:00"/>
    <s v="Trader Joe's"/>
    <n v="-25.01"/>
    <n v="12.505000000000001"/>
    <x v="2"/>
    <s v="Venture X - Ending in 0381"/>
  </r>
  <r>
    <d v="2024-10-30T00:00:00"/>
    <s v="Sprouts Farmers Market"/>
    <n v="-14.96"/>
    <n v="7.48"/>
    <x v="2"/>
    <s v="Venture X - Ending in 0381"/>
  </r>
  <r>
    <d v="2024-10-30T00:00:00"/>
    <s v="Trader Joe's"/>
    <n v="-4.8600000000000003"/>
    <n v="2.4300000000000002"/>
    <x v="2"/>
    <s v="Venture X - Ending in 038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d v="2024-06-01T00:00:00"/>
    <s v="Disney Plus"/>
    <n v="-14.99"/>
    <n v="14.99"/>
    <x v="0"/>
    <s v="Credit Card - Ending in 7288"/>
  </r>
  <r>
    <d v="2024-06-01T00:00:00"/>
    <s v="CSP Annual Fee"/>
    <n v="-95"/>
    <n v="95"/>
    <x v="1"/>
    <s v="Credit Card ( ) - Ending in 9734"/>
  </r>
  <r>
    <d v="2024-06-03T00:00:00"/>
    <s v="Hydroviv"/>
    <n v="-185.74"/>
    <n v="185.74"/>
    <x v="2"/>
    <s v="Credit Card - Ending in 7288"/>
  </r>
  <r>
    <d v="2024-06-05T00:00:00"/>
    <s v="Delta Air Lines"/>
    <n v="-171.31"/>
    <n v="171.31"/>
    <x v="3"/>
    <s v="Delta Skymiles Platinum Card ( X ) - Ending in 1003"/>
  </r>
  <r>
    <d v="2024-06-05T00:00:00"/>
    <s v="Foo"/>
    <n v="-28.79"/>
    <n v="9.5966666666666658"/>
    <x v="4"/>
    <s v="Venture X - Ending in 0381"/>
  </r>
  <r>
    <d v="2024-06-06T00:00:00"/>
    <s v="The Taj"/>
    <n v="-10.63"/>
    <n v="3.5433333333333334"/>
    <x v="4"/>
    <s v="Venture X - Ending in 0381"/>
  </r>
  <r>
    <d v="2024-06-07T00:00:00"/>
    <s v="London-Toronto"/>
    <n v="-174.78"/>
    <n v="222.36"/>
    <x v="3"/>
    <s v="Venture X - Ending in 0381"/>
  </r>
  <r>
    <d v="2024-06-10T00:00:00"/>
    <s v="Foreign Transaction Fee"/>
    <n v="-1.42"/>
    <n v="3.2800000000000002"/>
    <x v="1"/>
    <s v="Credit Card - Ending in 7288"/>
  </r>
  <r>
    <d v="2024-06-11T00:00:00"/>
    <s v="iCloud Fee"/>
    <n v="-2.99"/>
    <n v="2.99"/>
    <x v="1"/>
    <s v="Credit Card - Ending in 7288"/>
  </r>
  <r>
    <d v="2024-06-11T00:00:00"/>
    <s v="Uber"/>
    <n v="-5.67"/>
    <n v="5.67"/>
    <x v="3"/>
    <s v="Credit Card ( ) - Ending in 9734"/>
  </r>
  <r>
    <d v="2024-06-12T00:00:00"/>
    <s v="Uber"/>
    <n v="-31.64"/>
    <n v="31.64"/>
    <x v="3"/>
    <s v="Credit Card ( ) - Ending in 9734"/>
  </r>
  <r>
    <d v="2024-06-12T00:00:00"/>
    <s v="Airbnb"/>
    <n v="-687.21"/>
    <n v="171.80250000000001"/>
    <x v="3"/>
    <s v="Credit Card - Ending in 7288"/>
  </r>
  <r>
    <d v="2024-06-13T00:00:00"/>
    <s v="Uber"/>
    <n v="-22.54"/>
    <n v="22.54"/>
    <x v="3"/>
    <s v="Credit Card ( ) - Ending in 9734"/>
  </r>
  <r>
    <d v="2024-06-14T00:00:00"/>
    <s v="Nordvpn"/>
    <n v="-12.99"/>
    <n v="12.99"/>
    <x v="1"/>
    <s v="Credit Card ( ) - Ending in 9734"/>
  </r>
  <r>
    <d v="2024-06-15T00:00:00"/>
    <s v="Uber"/>
    <n v="-3.67"/>
    <n v="3.67"/>
    <x v="3"/>
    <s v="Credit Card ( ) - Ending in 9734"/>
  </r>
  <r>
    <d v="2024-06-15T00:00:00"/>
    <s v="Uber"/>
    <n v="-2.59"/>
    <n v="2.59"/>
    <x v="3"/>
    <s v="Credit Card ( ) - Ending in 9734"/>
  </r>
  <r>
    <d v="2024-06-15T00:00:00"/>
    <s v="The Nutcracker"/>
    <n v="-51.91"/>
    <n v="10.382"/>
    <x v="4"/>
    <s v="Venture X - Ending in 0381"/>
  </r>
  <r>
    <d v="2024-06-16T00:00:00"/>
    <s v="Uber"/>
    <n v="-10.28"/>
    <n v="10.28"/>
    <x v="3"/>
    <s v="Credit Card ( ) - Ending in 9734"/>
  </r>
  <r>
    <d v="2024-06-17T00:00:00"/>
    <s v="Uber"/>
    <n v="-7.75"/>
    <n v="7.75"/>
    <x v="3"/>
    <s v="Credit Card ( ) - Ending in 9734"/>
  </r>
  <r>
    <d v="2024-06-17T00:00:00"/>
    <s v="Uber"/>
    <n v="-5.0599999999999996"/>
    <n v="5.0599999999999996"/>
    <x v="3"/>
    <s v="Credit Card ( ) - Ending in 9734"/>
  </r>
  <r>
    <d v="2024-06-17T00:00:00"/>
    <s v="Nicobar"/>
    <n v="-81.430000000000007"/>
    <n v="40.715000000000003"/>
    <x v="1"/>
    <s v="Venture X - Ending in 0381"/>
  </r>
  <r>
    <d v="2024-06-17T00:00:00"/>
    <s v="Asian Street Kitchen"/>
    <n v="-23.42"/>
    <n v="23.42"/>
    <x v="4"/>
    <s v="Venture X - Ending in 0381"/>
  </r>
  <r>
    <d v="2024-06-17T00:00:00"/>
    <s v="Zara"/>
    <n v="-30.9"/>
    <n v="15.45"/>
    <x v="1"/>
    <s v="Venture X - Ending in 0381"/>
  </r>
  <r>
    <d v="2024-06-18T00:00:00"/>
    <s v="Hyde Park Boating"/>
    <n v="-20.94"/>
    <n v="10.47"/>
    <x v="0"/>
    <s v="Venture X - Ending in 0381"/>
  </r>
  <r>
    <d v="2024-06-18T00:00:00"/>
    <s v="Lime"/>
    <n v="-2.17"/>
    <n v="2.17"/>
    <x v="3"/>
    <s v="Venture X - Ending in 0381"/>
  </r>
  <r>
    <d v="2024-06-18T00:00:00"/>
    <s v="Lime"/>
    <n v="-3"/>
    <n v="3"/>
    <x v="3"/>
    <s v="Venture X - Ending in 0381"/>
  </r>
  <r>
    <d v="2024-06-18T00:00:00"/>
    <s v="Lime"/>
    <n v="-3.61"/>
    <n v="3.61"/>
    <x v="3"/>
    <s v="Venture X - Ending in 0381"/>
  </r>
  <r>
    <d v="2024-06-18T00:00:00"/>
    <s v="Transport For London"/>
    <n v="-34.83"/>
    <n v="34.83"/>
    <x v="3"/>
    <s v="Venture X - Ending in 0381"/>
  </r>
  <r>
    <d v="2024-06-18T00:00:00"/>
    <s v="Lime"/>
    <n v="-3.92"/>
    <n v="3.92"/>
    <x v="3"/>
    <s v="Venture X - Ending in 0381"/>
  </r>
  <r>
    <d v="2024-06-19T00:00:00"/>
    <s v="Google Photos Fee"/>
    <n v="-2.99"/>
    <n v="2.99"/>
    <x v="1"/>
    <s v="Credit Card - Ending in 7288"/>
  </r>
  <r>
    <d v="2024-06-19T00:00:00"/>
    <s v="Tesco"/>
    <n v="-2.1"/>
    <n v="2.1"/>
    <x v="4"/>
    <s v="Venture X - Ending in 0381"/>
  </r>
  <r>
    <d v="2024-06-19T00:00:00"/>
    <s v="Subway"/>
    <n v="-10.27"/>
    <n v="10.27"/>
    <x v="4"/>
    <s v="Venture X - Ending in 0381"/>
  </r>
  <r>
    <d v="2024-06-19T00:00:00"/>
    <s v="Pret A Manger"/>
    <n v="-5.36"/>
    <n v="5.36"/>
    <x v="4"/>
    <s v="Venture X - Ending in 0381"/>
  </r>
  <r>
    <d v="2024-06-20T00:00:00"/>
    <s v="Uber"/>
    <n v="-17.809999999999999"/>
    <n v="17.809999999999999"/>
    <x v="3"/>
    <s v="Credit Card ( ) - Ending in 9734"/>
  </r>
  <r>
    <d v="2024-06-20T00:00:00"/>
    <s v="Transport For London"/>
    <n v="-7.14"/>
    <n v="7.14"/>
    <x v="3"/>
    <s v="Venture X - Ending in 0381"/>
  </r>
  <r>
    <d v="2024-06-22T00:00:00"/>
    <s v="Uber"/>
    <n v="-17.690000000000001"/>
    <n v="17.690000000000001"/>
    <x v="3"/>
    <s v="Credit Card ( ) - Ending in 9734"/>
  </r>
  <r>
    <d v="2024-06-22T00:00:00"/>
    <s v="Lime"/>
    <n v="-5.34"/>
    <n v="5.34"/>
    <x v="3"/>
    <s v="Venture X - Ending in 0381"/>
  </r>
  <r>
    <d v="2024-06-22T00:00:00"/>
    <s v="Scar Traders"/>
    <n v="-18.97"/>
    <n v="18.97"/>
    <x v="4"/>
    <s v="Venture X - Ending in 0381"/>
  </r>
  <r>
    <d v="2024-06-22T00:00:00"/>
    <s v="Shayona Restaurants Lt"/>
    <n v="-5.73"/>
    <n v="5.73"/>
    <x v="4"/>
    <s v="Venture X - Ending in 0381"/>
  </r>
  <r>
    <d v="2024-06-22T00:00:00"/>
    <s v="Sq *buns From Home Totten"/>
    <n v="-10.02"/>
    <n v="10.02"/>
    <x v="4"/>
    <s v="Venture X - Ending in 0381"/>
  </r>
  <r>
    <d v="2024-06-22T00:00:00"/>
    <s v="Wagamama"/>
    <n v="-38.520000000000003"/>
    <n v="38.520000000000003"/>
    <x v="4"/>
    <s v="Venture X - Ending in 0381"/>
  </r>
  <r>
    <d v="2024-06-22T00:00:00"/>
    <s v="Transport For London"/>
    <n v="-8.91"/>
    <n v="8.91"/>
    <x v="3"/>
    <s v="Venture X - Ending in 0381"/>
  </r>
  <r>
    <d v="2024-06-22T00:00:00"/>
    <s v="Lime"/>
    <n v="-5.34"/>
    <n v="5.34"/>
    <x v="3"/>
    <s v="Venture X - Ending in 0381"/>
  </r>
  <r>
    <d v="2024-06-22T00:00:00"/>
    <s v="Shayona Restaurants Lt"/>
    <n v="-5.73"/>
    <n v="5.73"/>
    <x v="5"/>
    <s v="Venture X - Ending in 0381"/>
  </r>
  <r>
    <d v="2024-06-23T00:00:00"/>
    <s v="Air Canada"/>
    <n v="-62.12"/>
    <n v="62.12"/>
    <x v="3"/>
    <s v="Credit Card - Ending in 7288"/>
  </r>
  <r>
    <d v="2024-06-23T00:00:00"/>
    <s v="Uber"/>
    <n v="-27.13"/>
    <n v="27.13"/>
    <x v="3"/>
    <s v="Delta Skymiles Platinum Card ( X ) - Ending in 1003"/>
  </r>
  <r>
    <d v="2024-06-24T00:00:00"/>
    <s v="Zettle_*donut Cafe"/>
    <n v="-5.71"/>
    <n v="5.71"/>
    <x v="4"/>
    <s v="Venture X - Ending in 0381"/>
  </r>
  <r>
    <d v="2024-06-24T00:00:00"/>
    <s v="L Antica Pizzeria Da Mich"/>
    <n v="-29.1"/>
    <n v="14.55"/>
    <x v="5"/>
    <s v="Venture X - Ending in 0381"/>
  </r>
  <r>
    <d v="2024-06-24T00:00:00"/>
    <s v="Transport For London"/>
    <n v="-4.75"/>
    <n v="4.75"/>
    <x v="3"/>
    <s v="Venture X - Ending in 0381"/>
  </r>
  <r>
    <d v="2024-06-24T00:00:00"/>
    <s v="Transport For London"/>
    <n v="-6.66"/>
    <n v="6.66"/>
    <x v="3"/>
    <s v="Venture X - Ending in 0381"/>
  </r>
  <r>
    <d v="2024-06-24T00:00:00"/>
    <s v="Transport For London"/>
    <n v="-22.76"/>
    <n v="22.76"/>
    <x v="3"/>
    <s v="Venture X - Ending in 0381"/>
  </r>
  <r>
    <d v="2024-06-26T00:00:00"/>
    <s v="Bird* Ride Pass"/>
    <n v="-4.62"/>
    <n v="4.62"/>
    <x v="3"/>
    <s v="Venture X - Ending in 0381"/>
  </r>
  <r>
    <d v="2024-06-26T00:00:00"/>
    <s v="Bird"/>
    <n v="-2.16"/>
    <n v="2.16"/>
    <x v="3"/>
    <s v="Venture X - Ending in 0381"/>
  </r>
  <r>
    <d v="2024-06-26T00:00:00"/>
    <s v="Scoops Ice Cream Shop"/>
    <n v="-4.4000000000000004"/>
    <n v="4.4000000000000004"/>
    <x v="4"/>
    <s v="Venture X - Ending in 0381"/>
  </r>
  <r>
    <d v="2024-06-27T00:00:00"/>
    <s v="Tim Hortons"/>
    <n v="-5.28"/>
    <n v="5.28"/>
    <x v="4"/>
    <s v="Venture X - Ending in 0381"/>
  </r>
  <r>
    <d v="2024-06-27T00:00:00"/>
    <s v="Tim Hortons"/>
    <n v="-1.23"/>
    <n v="1.23"/>
    <x v="4"/>
    <s v="Venture X - Ending in 0381"/>
  </r>
  <r>
    <d v="2024-06-29T00:00:00"/>
    <s v="Impark"/>
    <n v="-7.32"/>
    <n v="7.32"/>
    <x v="3"/>
    <s v="Venture X - Ending in 0381"/>
  </r>
  <r>
    <d v="2024-06-29T00:00:00"/>
    <s v="Good Fellas"/>
    <n v="-95.89"/>
    <n v="23.9725"/>
    <x v="4"/>
    <s v="Venture X - Ending in 03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35DDF-33E5-3844-A552-BE4072706248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ies">
  <location ref="G2:H7" firstHeaderRow="1" firstDataRow="1" firstDataCol="1"/>
  <pivotFields count="5">
    <pivotField numFmtId="14" showAll="0"/>
    <pivotField showAll="0"/>
    <pivotField dataField="1" showAll="0"/>
    <pivotField axis="axisRow" showAll="0">
      <items count="9">
        <item m="1" x="6"/>
        <item m="1" x="7"/>
        <item m="1" x="4"/>
        <item x="0"/>
        <item m="1" x="5"/>
        <item x="2"/>
        <item x="1"/>
        <item x="3"/>
        <item t="default"/>
      </items>
    </pivotField>
    <pivotField showAll="0"/>
  </pivotFields>
  <rowFields count="1">
    <field x="3"/>
  </rowFields>
  <rowItems count="5">
    <i>
      <x v="3"/>
    </i>
    <i>
      <x v="5"/>
    </i>
    <i>
      <x v="6"/>
    </i>
    <i>
      <x v="7"/>
    </i>
    <i t="grand">
      <x/>
    </i>
  </rowItems>
  <colItems count="1">
    <i/>
  </colItems>
  <dataFields count="1">
    <dataField name="Sum of Amount" fld="2" baseField="0" baseItem="0" numFmtId="44"/>
  </dataFields>
  <formats count="17"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3" type="button" dataOnly="0" labelOnly="1" outline="0" axis="axisRow" fieldPosition="0"/>
    </format>
    <format dxfId="334">
      <pivotArea dataOnly="0" labelOnly="1" fieldPosition="0">
        <references count="1">
          <reference field="3" count="0"/>
        </references>
      </pivotArea>
    </format>
    <format dxfId="333">
      <pivotArea dataOnly="0" labelOnly="1" grandRow="1" outline="0" fieldPosition="0"/>
    </format>
    <format dxfId="332">
      <pivotArea dataOnly="0" labelOnly="1" outline="0" axis="axisValues" fieldPosition="0"/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field="3" type="button" dataOnly="0" labelOnly="1" outline="0" axis="axisRow" fieldPosition="0"/>
    </format>
    <format dxfId="328">
      <pivotArea dataOnly="0" labelOnly="1" fieldPosition="0">
        <references count="1">
          <reference field="3" count="0"/>
        </references>
      </pivotArea>
    </format>
    <format dxfId="327">
      <pivotArea dataOnly="0" labelOnly="1" grandRow="1" outline="0" fieldPosition="0"/>
    </format>
    <format dxfId="326">
      <pivotArea dataOnly="0" labelOnly="1" outline="0" axis="axisValues" fieldPosition="0"/>
    </format>
    <format dxfId="325">
      <pivotArea outline="0" collapsedLevelsAreSubtotals="1" fieldPosition="0"/>
    </format>
    <format dxfId="324">
      <pivotArea field="3" type="button" dataOnly="0" labelOnly="1" outline="0" axis="axisRow" fieldPosition="0"/>
    </format>
    <format dxfId="323">
      <pivotArea dataOnly="0" labelOnly="1" outline="0" axis="axisValues" fieldPosition="0"/>
    </format>
    <format dxfId="322">
      <pivotArea grandRow="1" outline="0" collapsedLevelsAreSubtotals="1" fieldPosition="0"/>
    </format>
    <format dxfId="32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AA870-56B4-1648-B1A2-AE5303A62F6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G2:H11" firstHeaderRow="1" firstDataRow="1" firstDataCol="1"/>
  <pivotFields count="5">
    <pivotField numFmtId="14" showAll="0"/>
    <pivotField showAll="0"/>
    <pivotField dataField="1" numFmtId="2" showAll="0"/>
    <pivotField axis="axisRow" showAll="0">
      <items count="17">
        <item m="1" x="12"/>
        <item x="2"/>
        <item m="1" x="8"/>
        <item m="1" x="14"/>
        <item m="1" x="15"/>
        <item x="0"/>
        <item m="1" x="9"/>
        <item m="1" x="10"/>
        <item m="1" x="11"/>
        <item x="6"/>
        <item m="1" x="13"/>
        <item x="1"/>
        <item x="5"/>
        <item x="3"/>
        <item x="4"/>
        <item x="7"/>
        <item t="default"/>
      </items>
    </pivotField>
    <pivotField showAll="0"/>
  </pivotFields>
  <rowFields count="1">
    <field x="3"/>
  </rowFields>
  <rowItems count="9">
    <i>
      <x v="1"/>
    </i>
    <i>
      <x v="5"/>
    </i>
    <i>
      <x v="9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Amount" fld="2" baseField="0" baseItem="0" numFmtId="44"/>
  </dataFields>
  <formats count="14">
    <format dxfId="311">
      <pivotArea field="3" type="button" dataOnly="0" labelOnly="1" outline="0" axis="axisRow" fieldPosition="0"/>
    </format>
    <format dxfId="310">
      <pivotArea dataOnly="0" labelOnly="1" outline="0" axis="axisValues" fieldPosition="0"/>
    </format>
    <format dxfId="309">
      <pivotArea field="3" type="button" dataOnly="0" labelOnly="1" outline="0" axis="axisRow" fieldPosition="0"/>
    </format>
    <format dxfId="308">
      <pivotArea dataOnly="0" labelOnly="1" outline="0" axis="axisValues" fieldPosition="0"/>
    </format>
    <format dxfId="307">
      <pivotArea outline="0" collapsedLevelsAreSubtotals="1" fieldPosition="0"/>
    </format>
    <format dxfId="306">
      <pivotArea grandRow="1" outline="0" collapsedLevelsAreSubtotals="1" fieldPosition="0"/>
    </format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3" type="button" dataOnly="0" labelOnly="1" outline="0" axis="axisRow" fieldPosition="0"/>
    </format>
    <format dxfId="302">
      <pivotArea dataOnly="0" labelOnly="1" fieldPosition="0">
        <references count="1">
          <reference field="3" count="0"/>
        </references>
      </pivotArea>
    </format>
    <format dxfId="301">
      <pivotArea dataOnly="0" labelOnly="1" grandRow="1" outline="0" fieldPosition="0"/>
    </format>
    <format dxfId="300">
      <pivotArea dataOnly="0" labelOnly="1" outline="0" axis="axisValues" fieldPosition="0"/>
    </format>
    <format dxfId="299">
      <pivotArea collapsedLevelsAreSubtotals="1" fieldPosition="0">
        <references count="1">
          <reference field="3" count="0"/>
        </references>
      </pivotArea>
    </format>
    <format dxfId="298">
      <pivotArea dataOnly="0" labelOnly="1" fieldPosition="0">
        <references count="1">
          <reference field="3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D693F-B7AB-564F-B3F5-C296EF606572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G2:H8" firstHeaderRow="1" firstDataRow="1" firstDataCol="1"/>
  <pivotFields count="5">
    <pivotField numFmtId="14" showAll="0"/>
    <pivotField showAll="0"/>
    <pivotField dataField="1" numFmtId="164" showAll="0"/>
    <pivotField axis="axisRow" showAll="0">
      <items count="16">
        <item m="1" x="7"/>
        <item m="1" x="14"/>
        <item m="1" x="10"/>
        <item x="1"/>
        <item m="1" x="6"/>
        <item m="1" x="13"/>
        <item x="4"/>
        <item m="1" x="9"/>
        <item x="3"/>
        <item m="1" x="8"/>
        <item m="1" x="11"/>
        <item m="1" x="5"/>
        <item x="0"/>
        <item m="1" x="12"/>
        <item x="2"/>
        <item t="default"/>
      </items>
    </pivotField>
    <pivotField showAll="0"/>
  </pivotFields>
  <rowFields count="1">
    <field x="3"/>
  </rowFields>
  <rowItems count="6">
    <i>
      <x v="3"/>
    </i>
    <i>
      <x v="6"/>
    </i>
    <i>
      <x v="8"/>
    </i>
    <i>
      <x v="12"/>
    </i>
    <i>
      <x v="14"/>
    </i>
    <i t="grand">
      <x/>
    </i>
  </rowItems>
  <colItems count="1">
    <i/>
  </colItems>
  <dataFields count="1">
    <dataField name="Total" fld="2" baseField="0" baseItem="0" numFmtId="44"/>
  </dataFields>
  <formats count="17">
    <format dxfId="290">
      <pivotArea outline="0" collapsedLevelsAreSubtotals="1" fieldPosition="0"/>
    </format>
    <format dxfId="289">
      <pivotArea type="all" dataOnly="0" outline="0" fieldPosition="0"/>
    </format>
    <format dxfId="288">
      <pivotArea field="3" type="button" dataOnly="0" labelOnly="1" outline="0" axis="axisRow" fieldPosition="0"/>
    </format>
    <format dxfId="287">
      <pivotArea dataOnly="0" labelOnly="1" grandRow="1" outline="0" fieldPosition="0"/>
    </format>
    <format dxfId="286">
      <pivotArea dataOnly="0" labelOnly="1" outline="0" axis="axisValues" fieldPosition="0"/>
    </format>
    <format dxfId="285">
      <pivotArea field="3" type="button" dataOnly="0" labelOnly="1" outline="0" axis="axisRow" fieldPosition="0"/>
    </format>
    <format dxfId="284">
      <pivotArea dataOnly="0" labelOnly="1" outline="0" axis="axisValues" fieldPosition="0"/>
    </format>
    <format dxfId="283">
      <pivotArea field="3" type="button" dataOnly="0" labelOnly="1" outline="0" axis="axisRow" fieldPosition="0"/>
    </format>
    <format dxfId="282">
      <pivotArea dataOnly="0" labelOnly="1" outline="0" axis="axisValues" fieldPosition="0"/>
    </format>
    <format dxfId="281">
      <pivotArea field="3" type="button" dataOnly="0" labelOnly="1" outline="0" axis="axisRow" fieldPosition="0"/>
    </format>
    <format dxfId="280">
      <pivotArea dataOnly="0" labelOnly="1" outline="0" axis="axisValues" fieldPosition="0"/>
    </format>
    <format dxfId="279">
      <pivotArea dataOnly="0" labelOnly="1" grandRow="1" outline="0" fieldPosition="0"/>
    </format>
    <format dxfId="278">
      <pivotArea dataOnly="0" labelOnly="1" grandRow="1" outline="0" fieldPosition="0"/>
    </format>
    <format dxfId="277">
      <pivotArea dataOnly="0" labelOnly="1" grandRow="1" outline="0" fieldPosition="0"/>
    </format>
    <format dxfId="276">
      <pivotArea grandRow="1" outline="0" collapsedLevelsAreSubtotals="1" fieldPosition="0"/>
    </format>
    <format dxfId="275">
      <pivotArea type="all" dataOnly="0" outline="0" fieldPosition="0"/>
    </format>
    <format dxfId="27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9AD95-C074-AD4D-AD1E-F8069D9CEE2E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G2:H9" firstHeaderRow="1" firstDataRow="1" firstDataCol="1"/>
  <pivotFields count="5">
    <pivotField numFmtId="14" showAll="0"/>
    <pivotField showAll="0"/>
    <pivotField dataField="1" numFmtId="2" showAll="0"/>
    <pivotField axis="axisRow" showAll="0">
      <items count="12">
        <item m="1" x="9"/>
        <item x="5"/>
        <item x="3"/>
        <item x="1"/>
        <item x="2"/>
        <item m="1" x="10"/>
        <item m="1" x="7"/>
        <item m="1" x="8"/>
        <item x="0"/>
        <item x="4"/>
        <item m="1" x="6"/>
        <item t="default"/>
      </items>
    </pivotField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8"/>
    </i>
    <i>
      <x v="9"/>
    </i>
    <i t="grand">
      <x/>
    </i>
  </rowItems>
  <colItems count="1">
    <i/>
  </colItems>
  <dataFields count="1">
    <dataField name="Total" fld="2" baseField="0" baseItem="0" numFmtId="44"/>
  </dataFields>
  <formats count="17">
    <format dxfId="264">
      <pivotArea type="all" dataOnly="0" outline="0" fieldPosition="0"/>
    </format>
    <format dxfId="263">
      <pivotArea outline="0" collapsedLevelsAreSubtotals="1" fieldPosition="0"/>
    </format>
    <format dxfId="262">
      <pivotArea field="3" type="button" dataOnly="0" labelOnly="1" outline="0" axis="axisRow" fieldPosition="0"/>
    </format>
    <format dxfId="261">
      <pivotArea dataOnly="0" labelOnly="1" fieldPosition="0">
        <references count="1">
          <reference field="3" count="0"/>
        </references>
      </pivotArea>
    </format>
    <format dxfId="260">
      <pivotArea dataOnly="0" labelOnly="1" grandRow="1" outline="0" fieldPosition="0"/>
    </format>
    <format dxfId="259">
      <pivotArea dataOnly="0" labelOnly="1" outline="0" axis="axisValues" fieldPosition="0"/>
    </format>
    <format dxfId="258">
      <pivotArea outline="0" collapsedLevelsAreSubtotals="1" fieldPosition="0"/>
    </format>
    <format dxfId="257">
      <pivotArea field="3" type="button" dataOnly="0" labelOnly="1" outline="0" axis="axisRow" fieldPosition="0"/>
    </format>
    <format dxfId="256">
      <pivotArea dataOnly="0" labelOnly="1" outline="0" axis="axisValues" fieldPosition="0"/>
    </format>
    <format dxfId="255">
      <pivotArea field="3" type="button" dataOnly="0" labelOnly="1" outline="0" axis="axisRow" fieldPosition="0"/>
    </format>
    <format dxfId="254">
      <pivotArea dataOnly="0" labelOnly="1" outline="0" axis="axisValues" fieldPosition="0"/>
    </format>
    <format dxfId="253">
      <pivotArea field="3" type="button" dataOnly="0" labelOnly="1" outline="0" axis="axisRow" fieldPosition="0"/>
    </format>
    <format dxfId="252">
      <pivotArea dataOnly="0" labelOnly="1" outline="0" axis="axisValues" fieldPosition="0"/>
    </format>
    <format dxfId="251">
      <pivotArea grandRow="1" outline="0" collapsedLevelsAreSubtotals="1" fieldPosition="0"/>
    </format>
    <format dxfId="250">
      <pivotArea dataOnly="0" labelOnly="1" grandRow="1" outline="0" fieldPosition="0"/>
    </format>
    <format dxfId="249">
      <pivotArea grandRow="1" outline="0" collapsedLevelsAreSubtotals="1" fieldPosition="0"/>
    </format>
    <format dxfId="24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C782C-A3C2-7D4A-9FEA-DA4ADF71CC0F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G2:H7" firstHeaderRow="1" firstDataRow="1" firstDataCol="1"/>
  <pivotFields count="5">
    <pivotField numFmtId="14" showAll="0"/>
    <pivotField showAll="0"/>
    <pivotField dataField="1" showAll="0"/>
    <pivotField axis="axisRow" showAll="0">
      <items count="13">
        <item m="1" x="8"/>
        <item m="1" x="6"/>
        <item m="1" x="5"/>
        <item m="1" x="10"/>
        <item x="1"/>
        <item m="1" x="11"/>
        <item m="1" x="7"/>
        <item m="1" x="4"/>
        <item m="1" x="9"/>
        <item x="2"/>
        <item x="0"/>
        <item x="3"/>
        <item t="default"/>
      </items>
    </pivotField>
    <pivotField showAll="0"/>
  </pivotFields>
  <rowFields count="1">
    <field x="3"/>
  </rowFields>
  <rowItems count="5">
    <i>
      <x v="4"/>
    </i>
    <i>
      <x v="9"/>
    </i>
    <i>
      <x v="10"/>
    </i>
    <i>
      <x v="11"/>
    </i>
    <i t="grand">
      <x/>
    </i>
  </rowItems>
  <colItems count="1">
    <i/>
  </colItems>
  <dataFields count="1">
    <dataField name="Total" fld="2" baseField="0" baseItem="0"/>
  </dataFields>
  <formats count="20">
    <format dxfId="238">
      <pivotArea type="all" dataOnly="0" outline="0" fieldPosition="0"/>
    </format>
    <format dxfId="237">
      <pivotArea outline="0" collapsedLevelsAreSubtotals="1" fieldPosition="0"/>
    </format>
    <format dxfId="236">
      <pivotArea field="3" type="button" dataOnly="0" labelOnly="1" outline="0" axis="axisRow" fieldPosition="0"/>
    </format>
    <format dxfId="235">
      <pivotArea dataOnly="0" labelOnly="1" fieldPosition="0">
        <references count="1">
          <reference field="3" count="0"/>
        </references>
      </pivotArea>
    </format>
    <format dxfId="234">
      <pivotArea dataOnly="0" labelOnly="1" grandRow="1" outline="0" fieldPosition="0"/>
    </format>
    <format dxfId="233">
      <pivotArea dataOnly="0" labelOnly="1" outline="0" axis="axisValues" fieldPosition="0"/>
    </format>
    <format dxfId="232">
      <pivotArea field="3" type="button" dataOnly="0" labelOnly="1" outline="0" axis="axisRow" fieldPosition="0"/>
    </format>
    <format dxfId="231">
      <pivotArea dataOnly="0" labelOnly="1" outline="0" axis="axisValues" fieldPosition="0"/>
    </format>
    <format dxfId="230">
      <pivotArea field="3" type="button" dataOnly="0" labelOnly="1" outline="0" axis="axisRow" fieldPosition="0"/>
    </format>
    <format dxfId="229">
      <pivotArea dataOnly="0" labelOnly="1" outline="0" axis="axisValues" fieldPosition="0"/>
    </format>
    <format dxfId="228">
      <pivotArea grandRow="1" outline="0" collapsedLevelsAreSubtotals="1" fieldPosition="0"/>
    </format>
    <format dxfId="227">
      <pivotArea dataOnly="0" labelOnly="1" grandRow="1" outline="0" fieldPosition="0"/>
    </format>
    <format dxfId="226">
      <pivotArea grandRow="1" outline="0" collapsedLevelsAreSubtotals="1" fieldPosition="0"/>
    </format>
    <format dxfId="225">
      <pivotArea dataOnly="0" labelOnly="1" grandRow="1" outline="0" fieldPosition="0"/>
    </format>
    <format dxfId="224">
      <pivotArea type="all" dataOnly="0" outline="0" fieldPosition="0"/>
    </format>
    <format dxfId="223">
      <pivotArea outline="0" collapsedLevelsAreSubtotals="1" fieldPosition="0"/>
    </format>
    <format dxfId="222">
      <pivotArea field="3" type="button" dataOnly="0" labelOnly="1" outline="0" axis="axisRow" fieldPosition="0"/>
    </format>
    <format dxfId="221">
      <pivotArea dataOnly="0" labelOnly="1" fieldPosition="0">
        <references count="1">
          <reference field="3" count="0"/>
        </references>
      </pivotArea>
    </format>
    <format dxfId="220">
      <pivotArea dataOnly="0" labelOnly="1" grandRow="1" outline="0" fieldPosition="0"/>
    </format>
    <format dxfId="2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2C53D-16BC-D24A-A843-1AAFABBD188F}" name="Jun_2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H1:I8" firstHeaderRow="1" firstDataRow="1" firstDataCol="1"/>
  <pivotFields count="6">
    <pivotField numFmtId="14" showAll="0"/>
    <pivotField showAll="0"/>
    <pivotField showAll="0"/>
    <pivotField dataField="1" numFmtId="2" showAll="0"/>
    <pivotField axis="axisRow" showAll="0">
      <items count="13">
        <item m="1" x="7"/>
        <item m="1" x="6"/>
        <item m="1" x="9"/>
        <item x="0"/>
        <item m="1" x="11"/>
        <item m="1" x="10"/>
        <item x="5"/>
        <item m="1" x="8"/>
        <item x="3"/>
        <item x="1"/>
        <item x="2"/>
        <item x="4"/>
        <item t="default"/>
      </items>
    </pivotField>
    <pivotField showAll="0"/>
  </pivotFields>
  <rowFields count="1">
    <field x="4"/>
  </rowFields>
  <rowItems count="7">
    <i>
      <x v="3"/>
    </i>
    <i>
      <x v="6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" fld="3" baseField="0" baseItem="0" numFmtId="44"/>
  </dataFields>
  <formats count="23"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4" type="button" dataOnly="0" labelOnly="1" outline="0" axis="axisRow" fieldPosition="0"/>
    </format>
    <format dxfId="206">
      <pivotArea dataOnly="0" labelOnly="1" fieldPosition="0">
        <references count="1">
          <reference field="4" count="0"/>
        </references>
      </pivotArea>
    </format>
    <format dxfId="205">
      <pivotArea dataOnly="0" labelOnly="1" grandRow="1" outline="0" fieldPosition="0"/>
    </format>
    <format dxfId="204">
      <pivotArea dataOnly="0" labelOnly="1" outline="0" axis="axisValues" fieldPosition="0"/>
    </format>
    <format dxfId="203">
      <pivotArea grandRow="1" outline="0" collapsedLevelsAreSubtotals="1" fieldPosition="0"/>
    </format>
    <format dxfId="202">
      <pivotArea collapsedLevelsAreSubtotals="1" fieldPosition="0">
        <references count="1">
          <reference field="4" count="0"/>
        </references>
      </pivotArea>
    </format>
    <format dxfId="201">
      <pivotArea field="4" type="button" dataOnly="0" labelOnly="1" outline="0" axis="axisRow" fieldPosition="0"/>
    </format>
    <format dxfId="200">
      <pivotArea dataOnly="0" labelOnly="1" fieldPosition="0">
        <references count="1">
          <reference field="4" count="0"/>
        </references>
      </pivotArea>
    </format>
    <format dxfId="199">
      <pivotArea dataOnly="0" labelOnly="1" outline="0" axis="axisValues" fieldPosition="0"/>
    </format>
    <format dxfId="198">
      <pivotArea grandRow="1" outline="0" collapsedLevelsAreSubtotals="1" fieldPosition="0"/>
    </format>
    <format dxfId="197">
      <pivotArea field="4" type="button" dataOnly="0" labelOnly="1" outline="0" axis="axisRow" fieldPosition="0"/>
    </format>
    <format dxfId="196">
      <pivotArea dataOnly="0" labelOnly="1" outline="0" axis="axisValues" fieldPosition="0"/>
    </format>
    <format dxfId="195">
      <pivotArea field="4" type="button" dataOnly="0" labelOnly="1" outline="0" axis="axisRow" fieldPosition="0"/>
    </format>
    <format dxfId="194">
      <pivotArea dataOnly="0" labelOnly="1" outline="0" axis="axisValues" fieldPosition="0"/>
    </format>
    <format dxfId="193">
      <pivotArea grandRow="1" outline="0" collapsedLevelsAreSubtotals="1" fieldPosition="0"/>
    </format>
    <format dxfId="192">
      <pivotArea dataOnly="0" labelOnly="1" grandRow="1" outline="0" fieldPosition="0"/>
    </format>
    <format dxfId="191">
      <pivotArea grandRow="1" outline="0" collapsedLevelsAreSubtotals="1" fieldPosition="0"/>
    </format>
    <format dxfId="190">
      <pivotArea dataOnly="0" labelOnly="1" grandRow="1" outline="0" fieldPosition="0"/>
    </format>
    <format dxfId="189">
      <pivotArea field="4" type="button" dataOnly="0" labelOnly="1" outline="0" axis="axisRow" fieldPosition="0"/>
    </format>
    <format dxfId="188">
      <pivotArea dataOnly="0" labelOnly="1" outline="0" axis="axisValues" fieldPosition="0"/>
    </format>
    <format dxfId="187">
      <pivotArea outline="0" collapsedLevelsAreSubtotals="1" fieldPosition="0"/>
    </format>
  </format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5257E-96D4-F740-96DD-15E3E9C0BBC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1:I9" firstHeaderRow="1" firstDataRow="1" firstDataCol="1"/>
  <pivotFields count="6">
    <pivotField numFmtId="14" showAll="0"/>
    <pivotField showAll="0"/>
    <pivotField showAll="0"/>
    <pivotField dataField="1" numFmtId="44" showAll="0"/>
    <pivotField axis="axisRow" showAll="0">
      <items count="17">
        <item m="1" x="9"/>
        <item x="0"/>
        <item m="1" x="8"/>
        <item m="1" x="7"/>
        <item x="4"/>
        <item m="1" x="11"/>
        <item m="1" x="13"/>
        <item m="1" x="14"/>
        <item m="1" x="15"/>
        <item m="1" x="10"/>
        <item x="6"/>
        <item m="1" x="12"/>
        <item x="3"/>
        <item x="5"/>
        <item x="1"/>
        <item x="2"/>
        <item t="default"/>
      </items>
    </pivotField>
    <pivotField showAll="0"/>
  </pivotFields>
  <rowFields count="1">
    <field x="4"/>
  </rowFields>
  <rowItems count="8">
    <i>
      <x v="1"/>
    </i>
    <i>
      <x v="4"/>
    </i>
    <i>
      <x v="10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Total" fld="3" baseField="0" baseItem="0" numFmtId="2"/>
  </dataFields>
  <formats count="13"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4" type="button" dataOnly="0" labelOnly="1" outline="0" axis="axisRow" fieldPosition="0"/>
    </format>
    <format dxfId="173">
      <pivotArea dataOnly="0" labelOnly="1" fieldPosition="0">
        <references count="1">
          <reference field="4" count="0"/>
        </references>
      </pivotArea>
    </format>
    <format dxfId="172">
      <pivotArea dataOnly="0" labelOnly="1" grandRow="1" outline="0" fieldPosition="0"/>
    </format>
    <format dxfId="171">
      <pivotArea dataOnly="0" labelOnly="1" outline="0" axis="axisValues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4" type="button" dataOnly="0" labelOnly="1" outline="0" axis="axisRow" fieldPosition="0"/>
    </format>
    <format dxfId="167">
      <pivotArea dataOnly="0" labelOnly="1" fieldPosition="0">
        <references count="1">
          <reference field="4" count="0"/>
        </references>
      </pivotArea>
    </format>
    <format dxfId="166">
      <pivotArea dataOnly="0" labelOnly="1" grandRow="1" outline="0" fieldPosition="0"/>
    </format>
    <format dxfId="165">
      <pivotArea dataOnly="0" labelOnly="1" outline="0" axis="axisValues" fieldPosition="0"/>
    </format>
    <format dxfId="16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41BB7-546D-4148-9E93-14B236E9FF4A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1:I7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5">
        <item m="1" x="8"/>
        <item m="1" x="7"/>
        <item x="0"/>
        <item m="1" x="6"/>
        <item m="1" x="10"/>
        <item m="1" x="11"/>
        <item m="1" x="9"/>
        <item m="1" x="5"/>
        <item m="1" x="12"/>
        <item m="1" x="13"/>
        <item x="2"/>
        <item x="1"/>
        <item x="3"/>
        <item x="4"/>
        <item t="default"/>
      </items>
    </pivotField>
    <pivotField showAll="0"/>
  </pivotFields>
  <rowFields count="1">
    <field x="4"/>
  </rowFields>
  <rowItems count="6">
    <i>
      <x v="2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Total" fld="3" baseField="0" baseItem="0" numFmtId="44"/>
  </dataFields>
  <formats count="20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4" type="button" dataOnly="0" labelOnly="1" outline="0" axis="axisRow" fieldPosition="0"/>
    </format>
    <format dxfId="150">
      <pivotArea dataOnly="0" labelOnly="1" fieldPosition="0">
        <references count="1">
          <reference field="4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147">
      <pivotArea outline="0" collapsedLevelsAreSubtotals="1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4" type="button" dataOnly="0" labelOnly="1" outline="0" axis="axisRow" fieldPosition="0"/>
    </format>
    <format dxfId="143">
      <pivotArea dataOnly="0" labelOnly="1" fieldPosition="0">
        <references count="1">
          <reference field="4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field="4" type="button" dataOnly="0" labelOnly="1" outline="0" axis="axisRow" fieldPosition="0"/>
    </format>
    <format dxfId="139">
      <pivotArea dataOnly="0" labelOnly="1" outline="0" axis="axisValues" fieldPosition="0"/>
    </format>
    <format dxfId="138">
      <pivotArea field="4" type="button" dataOnly="0" labelOnly="1" outline="0" axis="axisRow" fieldPosition="0"/>
    </format>
    <format dxfId="137">
      <pivotArea dataOnly="0" labelOnly="1" outline="0" axis="axisValues" fieldPosition="0"/>
    </format>
    <format dxfId="136">
      <pivotArea grandRow="1" outline="0" collapsedLevelsAreSubtotals="1" fieldPosition="0"/>
    </format>
    <format dxfId="135">
      <pivotArea dataOnly="0" labelOnly="1" grandRow="1" outline="0" fieldPosition="0"/>
    </format>
    <format dxfId="134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9D44A-CF12-A94F-B366-D5EFA36E07C5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1:I7" firstHeaderRow="1" firstDataRow="1" firstDataCol="1"/>
  <pivotFields count="6">
    <pivotField numFmtId="14" showAll="0"/>
    <pivotField showAll="0"/>
    <pivotField showAll="0"/>
    <pivotField dataField="1" numFmtId="44" showAll="0"/>
    <pivotField axis="axisRow" showAll="0">
      <items count="15">
        <item m="1" x="8"/>
        <item m="1" x="6"/>
        <item x="0"/>
        <item m="1" x="7"/>
        <item x="3"/>
        <item m="1" x="13"/>
        <item m="1" x="10"/>
        <item m="1" x="11"/>
        <item m="1" x="9"/>
        <item m="1" x="12"/>
        <item m="1" x="5"/>
        <item x="1"/>
        <item x="2"/>
        <item x="4"/>
        <item t="default"/>
      </items>
    </pivotField>
    <pivotField showAll="0"/>
  </pivotFields>
  <rowFields count="1">
    <field x="4"/>
  </rowFields>
  <rowItems count="6">
    <i>
      <x v="2"/>
    </i>
    <i>
      <x v="4"/>
    </i>
    <i>
      <x v="11"/>
    </i>
    <i>
      <x v="12"/>
    </i>
    <i>
      <x v="13"/>
    </i>
    <i t="grand">
      <x/>
    </i>
  </rowItems>
  <colItems count="1">
    <i/>
  </colItems>
  <dataFields count="1">
    <dataField name="Total" fld="3" baseField="0" baseItem="0" numFmtId="44"/>
  </dataFields>
  <formats count="38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4" type="button" dataOnly="0" labelOnly="1" outline="0" axis="axisRow" fieldPosition="0"/>
    </format>
    <format dxfId="120">
      <pivotArea dataOnly="0" labelOnly="1" fieldPosition="0">
        <references count="1">
          <reference field="4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field="4" type="button" dataOnly="0" labelOnly="1" outline="0" axis="axisRow" fieldPosition="0"/>
    </format>
    <format dxfId="116">
      <pivotArea dataOnly="0" labelOnly="1" outline="0" axis="axisValues" fieldPosition="0"/>
    </format>
    <format dxfId="115">
      <pivotArea field="4" type="button" dataOnly="0" labelOnly="1" outline="0" axis="axisRow" fieldPosition="0"/>
    </format>
    <format dxfId="114">
      <pivotArea dataOnly="0" labelOnly="1" outline="0" axis="axisValues" fieldPosition="0"/>
    </format>
    <format dxfId="113">
      <pivotArea grandRow="1" outline="0" collapsedLevelsAreSubtotals="1" fieldPosition="0"/>
    </format>
    <format dxfId="112">
      <pivotArea dataOnly="0" labelOnly="1" grandRow="1" outline="0" fieldPosition="0"/>
    </format>
    <format dxfId="111">
      <pivotArea grandRow="1" outline="0" collapsedLevelsAreSubtotals="1" fieldPosition="0"/>
    </format>
    <format dxfId="110">
      <pivotArea dataOnly="0" labelOnly="1" grandRow="1" outline="0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4" type="button" dataOnly="0" labelOnly="1" outline="0" axis="axisRow" fieldPosition="0"/>
    </format>
    <format dxfId="106">
      <pivotArea dataOnly="0" labelOnly="1" fieldPosition="0">
        <references count="1">
          <reference field="4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4" type="button" dataOnly="0" labelOnly="1" outline="0" axis="axisRow" fieldPosition="0"/>
    </format>
    <format dxfId="100">
      <pivotArea dataOnly="0" labelOnly="1" fieldPosition="0">
        <references count="1">
          <reference field="4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4" type="button" dataOnly="0" labelOnly="1" outline="0" axis="axisRow" fieldPosition="0"/>
    </format>
    <format dxfId="94">
      <pivotArea dataOnly="0" labelOnly="1" fieldPosition="0">
        <references count="1">
          <reference field="4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field="4" type="button" dataOnly="0" labelOnly="1" outline="0" axis="axisRow" fieldPosition="0"/>
    </format>
    <format dxfId="90">
      <pivotArea dataOnly="0" labelOnly="1" outline="0" axis="axisValues" fieldPosition="0"/>
    </format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grandRow="1" outline="0" collapsedLevelsAreSubtotals="1" fieldPosition="0"/>
    </format>
    <format dxfId="8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66A36-7C15-1C48-A04A-E172BE52C7BA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2:I10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6">
        <item m="1" x="7"/>
        <item x="5"/>
        <item m="1" x="11"/>
        <item m="1" x="12"/>
        <item x="2"/>
        <item m="1" x="10"/>
        <item n="Personal" m="1" x="14"/>
        <item m="1" x="9"/>
        <item m="1" x="8"/>
        <item x="6"/>
        <item n="Food" m="1" x="13"/>
        <item x="4"/>
        <item n="Personal2" x="3"/>
        <item n="Food2" x="1"/>
        <item x="0"/>
        <item t="default"/>
      </items>
    </pivotField>
    <pivotField showAll="0"/>
  </pivotFields>
  <rowFields count="1">
    <field x="4"/>
  </rowFields>
  <rowItems count="8">
    <i>
      <x v="1"/>
    </i>
    <i>
      <x v="4"/>
    </i>
    <i>
      <x v="9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otal" fld="3" baseField="0" baseItem="0"/>
  </dataFields>
  <formats count="24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4" type="button" dataOnly="0" labelOnly="1" outline="0" axis="axisRow" fieldPosition="0"/>
    </format>
    <format dxfId="72">
      <pivotArea dataOnly="0" labelOnly="1" fieldPosition="0">
        <references count="1">
          <reference field="4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4" type="button" dataOnly="0" labelOnly="1" outline="0" axis="axisRow" fieldPosition="0"/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4" type="button" dataOnly="0" labelOnly="1" outline="0" axis="axisRow" fieldPosition="0"/>
    </format>
    <format dxfId="60">
      <pivotArea dataOnly="0" labelOnly="1" fieldPosition="0">
        <references count="1">
          <reference field="4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" type="button" dataOnly="0" labelOnly="1" outline="0" axis="axisRow" fieldPosition="0"/>
    </format>
    <format dxfId="54">
      <pivotArea dataOnly="0" labelOnly="1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4CD11-648D-154B-BBED-5A2C7D2530F3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2:I9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9">
        <item m="1" x="16"/>
        <item m="1" x="14"/>
        <item m="1" x="13"/>
        <item m="1" x="11"/>
        <item m="1" x="10"/>
        <item x="1"/>
        <item m="1" x="15"/>
        <item m="1" x="17"/>
        <item m="1" x="12"/>
        <item m="1" x="9"/>
        <item m="1" x="8"/>
        <item x="4"/>
        <item x="0"/>
        <item x="2"/>
        <item x="3"/>
        <item m="1" x="6"/>
        <item m="1" x="7"/>
        <item x="5"/>
        <item t="default"/>
      </items>
    </pivotField>
    <pivotField showAll="0"/>
  </pivotFields>
  <rowFields count="1">
    <field x="4"/>
  </rowFields>
  <rowItems count="7">
    <i>
      <x v="5"/>
    </i>
    <i>
      <x v="11"/>
    </i>
    <i>
      <x v="12"/>
    </i>
    <i>
      <x v="13"/>
    </i>
    <i>
      <x v="14"/>
    </i>
    <i>
      <x v="17"/>
    </i>
    <i t="grand">
      <x/>
    </i>
  </rowItems>
  <colItems count="1">
    <i/>
  </colItems>
  <dataFields count="1">
    <dataField name="Total" fld="3" baseField="0" baseItem="0" numFmtId="44"/>
  </dataFields>
  <formats count="3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4" type="button" dataOnly="0" labelOnly="1" outline="0" axis="axisRow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field="4" type="button" dataOnly="0" labelOnly="1" outline="0" axis="axisRow" fieldPosition="0"/>
    </format>
    <format dxfId="15">
      <pivotArea dataOnly="0" labelOnly="1" outline="0" axis="axisValues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54D7F-4928-C947-B937-970D5D6DF15B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9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4">
        <item m="1" x="9"/>
        <item m="1" x="12"/>
        <item m="1" x="11"/>
        <item x="5"/>
        <item x="0"/>
        <item m="1" x="10"/>
        <item x="2"/>
        <item x="6"/>
        <item x="1"/>
        <item m="1" x="8"/>
        <item x="3"/>
        <item x="4"/>
        <item m="1" x="7"/>
        <item t="default"/>
      </items>
    </pivotField>
    <pivotField showAll="0"/>
  </pivotFields>
  <rowFields count="1">
    <field x="4"/>
  </rowFields>
  <rowItems count="8">
    <i>
      <x v="3"/>
    </i>
    <i>
      <x v="4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Sum of Amount2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F2ADF-9DD7-574B-B0E0-C8C2EE724F72}" name="Table1" displayName="Table1" ref="A1:E21" totalsRowShown="0" headerRowDxfId="320" dataDxfId="318" headerRowBorderDxfId="319" tableBorderDxfId="317">
  <autoFilter ref="A1:E21" xr:uid="{6DEF2ADF-9DD7-574B-B0E0-C8C2EE724F72}"/>
  <sortState xmlns:xlrd2="http://schemas.microsoft.com/office/spreadsheetml/2017/richdata2" ref="A2:E21">
    <sortCondition ref="A1:A21"/>
  </sortState>
  <tableColumns count="5">
    <tableColumn id="1" xr3:uid="{47679AA5-E253-2B40-9707-4F5E0C8B5CDC}" name="Date" dataDxfId="316"/>
    <tableColumn id="2" xr3:uid="{E5FD93B2-572A-B54A-9C6D-2FE57493DF5C}" name="Description" dataDxfId="315"/>
    <tableColumn id="3" xr3:uid="{66FD6735-807E-4540-A98F-550906BAA9DB}" name="Amount" dataDxfId="314" dataCellStyle="Percent"/>
    <tableColumn id="4" xr3:uid="{A46238E4-1C01-EE46-B00B-049E4B5E033B}" name="Category" dataDxfId="313"/>
    <tableColumn id="5" xr3:uid="{F598DFDE-3AF3-1249-98B4-2C5E31B578A9}" name="Transaction Type" dataDxfId="3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E6E5E-0628-1D4A-AC10-9AD741D1C394}" name="Table2" displayName="Table2" ref="FDY12:FDY13" insertRow="1" totalsRowShown="0">
  <autoFilter ref="FDY12:FDY13" xr:uid="{F0BE6E5E-0628-1D4A-AC10-9AD741D1C394}"/>
  <tableColumns count="1">
    <tableColumn id="1" xr3:uid="{5060FDD3-6828-4C49-8707-87E764D7D576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D9021A-DB2D-E041-B343-83A0F705F1A9}" name="Table3" displayName="Table3" ref="A1:E38" totalsRowShown="0" headerRowDxfId="297" dataDxfId="296">
  <autoFilter ref="A1:E38" xr:uid="{FED9021A-DB2D-E041-B343-83A0F705F1A9}"/>
  <sortState xmlns:xlrd2="http://schemas.microsoft.com/office/spreadsheetml/2017/richdata2" ref="A2:E38">
    <sortCondition ref="A1:A38"/>
  </sortState>
  <tableColumns count="5">
    <tableColumn id="1" xr3:uid="{580FC34E-96C5-2E40-A92D-558D5922FFBC}" name="Date" dataDxfId="295"/>
    <tableColumn id="2" xr3:uid="{07AD064D-9A39-B145-8C36-7A6BF9F7FC8C}" name="Description" dataDxfId="294"/>
    <tableColumn id="3" xr3:uid="{1B2AFB2C-8917-C547-9020-FF7C2F985EE4}" name="Amount" dataDxfId="293"/>
    <tableColumn id="4" xr3:uid="{11E986C6-657B-364C-A4D1-764F1CC814CE}" name="Category" dataDxfId="292"/>
    <tableColumn id="5" xr3:uid="{1BDA9A1B-7297-DA4C-9426-1EE6AFD8AFE7}" name="Transaction Type" dataDxfId="2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E5816C-10E7-BD4A-8E33-8853DC947B38}" name="Table4" displayName="Table4" ref="A1:E44" totalsRowShown="0" headerRowDxfId="273" dataDxfId="271" headerRowBorderDxfId="272" tableBorderDxfId="270">
  <autoFilter ref="A1:E44" xr:uid="{7DE5816C-10E7-BD4A-8E33-8853DC947B38}"/>
  <sortState xmlns:xlrd2="http://schemas.microsoft.com/office/spreadsheetml/2017/richdata2" ref="A2:E44">
    <sortCondition ref="A1:A44"/>
  </sortState>
  <tableColumns count="5">
    <tableColumn id="1" xr3:uid="{ABBFB08A-EFC7-1047-9776-65A0CC9CC114}" name="Date" dataDxfId="269"/>
    <tableColumn id="2" xr3:uid="{C651945E-C744-8D47-92C0-5ECFCECAA122}" name="Description" dataDxfId="268"/>
    <tableColumn id="3" xr3:uid="{E2E3DA5A-F2E7-CC47-86EC-9DE56D841E70}" name="Amount" dataDxfId="267"/>
    <tableColumn id="4" xr3:uid="{43AE03BA-B4C6-2C4F-B24D-D0C83326CF87}" name="Category" dataDxfId="266"/>
    <tableColumn id="5" xr3:uid="{0DF118C4-161F-6C46-BE0B-ACAE01F1357D}" name="Transaction Type" dataDxfId="26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960379-E3BB-BE4E-BCA0-1DFDD51F196E}" name="Table5" displayName="Table5" ref="A1:E37" totalsRowShown="0" headerRowDxfId="247" dataDxfId="245" headerRowBorderDxfId="246" tableBorderDxfId="244">
  <autoFilter ref="A1:E37" xr:uid="{55960379-E3BB-BE4E-BCA0-1DFDD51F196E}"/>
  <sortState xmlns:xlrd2="http://schemas.microsoft.com/office/spreadsheetml/2017/richdata2" ref="A2:E37">
    <sortCondition ref="A1:A37"/>
  </sortState>
  <tableColumns count="5">
    <tableColumn id="1" xr3:uid="{2A3818A9-CBB6-5040-BFB2-A5300BE87FF5}" name="Date" dataDxfId="243"/>
    <tableColumn id="2" xr3:uid="{58FF2F54-E93A-A84D-91BC-4FD94C2FF1EC}" name="Description" dataDxfId="242"/>
    <tableColumn id="3" xr3:uid="{99F609BC-E3CF-6649-BF59-80FD88A1786C}" name="Amount" dataDxfId="241"/>
    <tableColumn id="4" xr3:uid="{4588C545-1397-0849-B811-59387409739C}" name="Category" dataDxfId="240"/>
    <tableColumn id="5" xr3:uid="{49F96B9B-838B-204F-9AA0-78F7C043DD6B}" name="Transaction Type" dataDxfId="23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3137FE-3CD4-E74B-8F4F-B9FD1D6B037F}" name="Table6" displayName="Table6" ref="A1:E20" totalsRowShown="0" headerRowDxfId="218" dataDxfId="216" headerRowBorderDxfId="217" tableBorderDxfId="215">
  <autoFilter ref="A1:E20" xr:uid="{E73137FE-3CD4-E74B-8F4F-B9FD1D6B037F}"/>
  <sortState xmlns:xlrd2="http://schemas.microsoft.com/office/spreadsheetml/2017/richdata2" ref="A2:E20">
    <sortCondition ref="A1:A20"/>
  </sortState>
  <tableColumns count="5">
    <tableColumn id="1" xr3:uid="{6A762305-98FA-5046-901B-5F372E3528B5}" name="Date" dataDxfId="214"/>
    <tableColumn id="2" xr3:uid="{3911E711-F524-F445-98DD-B2ABF02B9F69}" name="Description" dataDxfId="213"/>
    <tableColumn id="3" xr3:uid="{A4A2E86D-ECE5-1F43-896C-F9249B37D393}" name="Amount" dataDxfId="212"/>
    <tableColumn id="4" xr3:uid="{C1ABFCB8-0818-BE41-82E3-7CCC198BBC63}" name="Category" dataDxfId="211"/>
    <tableColumn id="5" xr3:uid="{90228759-012C-0248-84F9-E15582446B10}" name="Transaction Type" dataDxfId="21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A0B36D-47A0-AB47-BE82-2B7AF26E8A8F}" name="Table7" displayName="Table7" ref="A1:F59" totalsRowShown="0" headerRowDxfId="186" dataDxfId="184" headerRowBorderDxfId="185" tableBorderDxfId="183">
  <autoFilter ref="A1:F59" xr:uid="{C3A0B36D-47A0-AB47-BE82-2B7AF26E8A8F}"/>
  <sortState xmlns:xlrd2="http://schemas.microsoft.com/office/spreadsheetml/2017/richdata2" ref="A2:F59">
    <sortCondition ref="A1:A59"/>
  </sortState>
  <tableColumns count="6">
    <tableColumn id="1" xr3:uid="{719AA10F-1564-7747-90E8-265B1E4A4B36}" name="Date" dataDxfId="182"/>
    <tableColumn id="2" xr3:uid="{D935EA42-76B3-0540-AE1E-F18BC9511EFE}" name="Description" dataDxfId="181"/>
    <tableColumn id="3" xr3:uid="{35FAD45F-5D4F-9A46-9192-FFC9515C9436}" name="Amount" dataDxfId="180"/>
    <tableColumn id="6" xr3:uid="{E1B2810D-AED6-8246-947A-0AE5CD869AFC}" name="Amount2" dataDxfId="179">
      <calculatedColumnFormula>ABS(Table7[[#This Row],[Amount]])</calculatedColumnFormula>
    </tableColumn>
    <tableColumn id="4" xr3:uid="{A0ABB43D-11F4-4F49-AEB1-4C0DDBCEAB0A}" name="Category" dataDxfId="178"/>
    <tableColumn id="5" xr3:uid="{D33DC0B3-CAD6-F744-BD05-C307E2FDC52F}" name="Card" dataDxfId="177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BC877A-5076-3D4E-BA4E-12866C952526}" name="Table8" displayName="Table8" ref="A1:F42" totalsRowShown="0" headerRowDxfId="163" dataDxfId="161" headerRowBorderDxfId="162" tableBorderDxfId="160">
  <autoFilter ref="A1:F42" xr:uid="{0CBC877A-5076-3D4E-BA4E-12866C952526}"/>
  <sortState xmlns:xlrd2="http://schemas.microsoft.com/office/spreadsheetml/2017/richdata2" ref="A2:F42">
    <sortCondition ref="A1:A42"/>
  </sortState>
  <tableColumns count="6">
    <tableColumn id="1" xr3:uid="{B9A09AEE-81A8-0C48-A24E-7119BF8753ED}" name="Date" dataDxfId="159"/>
    <tableColumn id="2" xr3:uid="{860C09B1-D837-A04A-A42B-2A63F080E537}" name="Description" dataDxfId="158"/>
    <tableColumn id="3" xr3:uid="{FA197032-D307-774D-A787-757EE86B68EC}" name="Amount" dataDxfId="157"/>
    <tableColumn id="4" xr3:uid="{DD7ED5B9-16C9-C54D-9AF7-B18551F7DEF0}" name="Amount2" dataDxfId="156" dataCellStyle="Currency">
      <calculatedColumnFormula>ABS(C2)</calculatedColumnFormula>
    </tableColumn>
    <tableColumn id="5" xr3:uid="{70AA1374-BFE5-9541-B6C5-AF27F8C3A382}" name="Category" dataDxfId="155"/>
    <tableColumn id="6" xr3:uid="{78009848-9966-9247-90B6-1636FFB69AE7}" name="Card" dataDxfId="15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69F6F7-7EBF-044A-A20E-424BF34D2C96}" name="Table9" displayName="Table9" ref="A1:F25" totalsRowShown="0" headerRowDxfId="133" dataDxfId="131" headerRowBorderDxfId="132" tableBorderDxfId="130">
  <autoFilter ref="A1:F25" xr:uid="{2469F6F7-7EBF-044A-A20E-424BF34D2C96}"/>
  <sortState xmlns:xlrd2="http://schemas.microsoft.com/office/spreadsheetml/2017/richdata2" ref="A2:F25">
    <sortCondition ref="A1:A25"/>
  </sortState>
  <tableColumns count="6">
    <tableColumn id="1" xr3:uid="{CE9A89FB-BF02-C04F-9B3F-5305747364BD}" name="Date" dataDxfId="129"/>
    <tableColumn id="2" xr3:uid="{52A929FE-A84C-024C-86E5-C1F14867A214}" name="Description" dataDxfId="128"/>
    <tableColumn id="3" xr3:uid="{DA69A301-48A6-224D-BAF8-D2334C6FE31E}" name="Amount" dataDxfId="127"/>
    <tableColumn id="4" xr3:uid="{FA5FDC93-964D-754F-A5DB-C326BCA85BE8}" name="Amount2" dataDxfId="126" dataCellStyle="Currency">
      <calculatedColumnFormula>ABS(Table9[[#This Row],[Amount]])</calculatedColumnFormula>
    </tableColumn>
    <tableColumn id="5" xr3:uid="{5235740C-6E2C-A345-A84F-1EE670EE5013}" name="Category" dataDxfId="125"/>
    <tableColumn id="6" xr3:uid="{63E86065-4858-2D44-9178-E3980FA77952}" name="Card" dataDxfId="12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A56841-E61B-5C4F-AD8C-7A78C952BB4A}" name="Table10" displayName="Table10" ref="A1:F24" totalsRowShown="0" headerRowDxfId="85" dataDxfId="83" headerRowBorderDxfId="84" tableBorderDxfId="82">
  <autoFilter ref="A1:F24" xr:uid="{75A56841-E61B-5C4F-AD8C-7A78C952BB4A}"/>
  <sortState xmlns:xlrd2="http://schemas.microsoft.com/office/spreadsheetml/2017/richdata2" ref="A2:F24">
    <sortCondition ref="A1:A24"/>
  </sortState>
  <tableColumns count="6">
    <tableColumn id="1" xr3:uid="{700C9ED7-E868-9345-A438-D77785EB5C6F}" name="Date" dataDxfId="81"/>
    <tableColumn id="2" xr3:uid="{F3C9AA43-E6BD-B64F-A1C5-7C676370E6E2}" name="Description" dataDxfId="80"/>
    <tableColumn id="3" xr3:uid="{ABBF91CF-37D3-074D-B2CF-DF04A9BE2DCF}" name="Amount" dataDxfId="79"/>
    <tableColumn id="4" xr3:uid="{63771256-15AE-2B43-A432-A6231C6CD99B}" name="Amount2" dataDxfId="78" dataCellStyle="Currency">
      <calculatedColumnFormula>ABS(C2)</calculatedColumnFormula>
    </tableColumn>
    <tableColumn id="5" xr3:uid="{A1343F26-E11A-344B-BA4F-5B0CC546BBB1}" name="Category" dataDxfId="77"/>
    <tableColumn id="6" xr3:uid="{76816A1A-6CC3-4E48-913B-B8803B1AA682}" name="Card" dataDxfId="76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5AEB9F4-72D1-B74A-921E-DBD173D64515}" name="Table11" displayName="Table11" ref="A1:F37" totalsRowShown="0" headerRowDxfId="51" dataDxfId="49" headerRowBorderDxfId="50" tableBorderDxfId="48">
  <autoFilter ref="A1:F37" xr:uid="{25AEB9F4-72D1-B74A-921E-DBD173D64515}"/>
  <sortState xmlns:xlrd2="http://schemas.microsoft.com/office/spreadsheetml/2017/richdata2" ref="A2:F37">
    <sortCondition ref="A1:A37"/>
  </sortState>
  <tableColumns count="6">
    <tableColumn id="1" xr3:uid="{64D3F53C-3B0E-9F4F-A9DB-6BA782EE8035}" name="Date" dataDxfId="47"/>
    <tableColumn id="2" xr3:uid="{DA75E6A5-B721-7B43-B2E5-1AD78DBE6D9D}" name="Description" dataDxfId="46"/>
    <tableColumn id="3" xr3:uid="{B699B33B-5900-D547-B065-F2B23A507C23}" name="Amount" dataDxfId="45"/>
    <tableColumn id="4" xr3:uid="{383700D2-1497-F947-A6D0-A60006A55BCE}" name="Amount2" dataDxfId="44">
      <calculatedColumnFormula>-Table11[[#This Row],[Amount]]/2</calculatedColumnFormula>
    </tableColumn>
    <tableColumn id="5" xr3:uid="{592D2E04-8E64-8D4C-8344-0FB127E0E055}" name="Category" dataDxfId="43"/>
    <tableColumn id="6" xr3:uid="{600B46B8-D6C6-F14D-A769-6D722E8CC6C7}" name="Card" dataDxfId="42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019349-98D4-EE47-BCB4-59E8141939B5}" name="Table12" displayName="Table12" ref="A1:F30" totalsRowShown="0" headerRowDxfId="9" dataDxfId="7" headerRowBorderDxfId="8" tableBorderDxfId="6">
  <autoFilter ref="A1:F30" xr:uid="{98019349-98D4-EE47-BCB4-59E8141939B5}"/>
  <sortState xmlns:xlrd2="http://schemas.microsoft.com/office/spreadsheetml/2017/richdata2" ref="A2:F30">
    <sortCondition ref="A1:A30"/>
  </sortState>
  <tableColumns count="6">
    <tableColumn id="1" xr3:uid="{D3579512-FAA8-554D-9978-1686A7D0BCE1}" name="Date" dataDxfId="5"/>
    <tableColumn id="2" xr3:uid="{67F79117-9D29-7549-B3CA-F79E3D704B75}" name="Description" dataDxfId="4"/>
    <tableColumn id="3" xr3:uid="{D79E1027-00CC-E840-9FE8-9DB4CF54B8F2}" name="Amount" dataDxfId="3"/>
    <tableColumn id="4" xr3:uid="{1FED9D7E-5E7F-0544-9875-B231241CC5BF}" name="Amount2" dataDxfId="2">
      <calculatedColumnFormula>-Table12[[#This Row],[Amount]]</calculatedColumnFormula>
    </tableColumn>
    <tableColumn id="5" xr3:uid="{1467624F-538C-4B4D-A38A-AE7E24826A73}" name="Category" dataDxfId="1"/>
    <tableColumn id="6" xr3:uid="{7B558D79-4454-E34B-A0FA-B1857CCB2CD3}" name="Card" dataDxfId="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342D861-381B-1F4F-AF30-C4AF811D68AF}" name="Dec_24" displayName="Dec_24" ref="A1:F29" totalsRowShown="0" headerRowDxfId="347" dataDxfId="345" headerRowBorderDxfId="346" tableBorderDxfId="344">
  <autoFilter ref="A1:F29" xr:uid="{7342D861-381B-1F4F-AF30-C4AF811D68AF}"/>
  <sortState xmlns:xlrd2="http://schemas.microsoft.com/office/spreadsheetml/2017/richdata2" ref="A2:F29">
    <sortCondition ref="A1:A29"/>
  </sortState>
  <tableColumns count="6">
    <tableColumn id="1" xr3:uid="{4658E5D2-EF6B-D44E-815A-250CC972DB79}" name="Date" dataDxfId="343"/>
    <tableColumn id="2" xr3:uid="{43D5081D-6E49-2845-86EF-F4FA7E16E16C}" name="Description" dataDxfId="342"/>
    <tableColumn id="3" xr3:uid="{3C889334-0B38-E14C-A235-2771BABDBC6C}" name="Amount" dataDxfId="341"/>
    <tableColumn id="4" xr3:uid="{8CB4379A-BFC8-EE4F-A580-1A230AACEC74}" name="Amount2" dataDxfId="340">
      <calculatedColumnFormula>-(C2)</calculatedColumnFormula>
    </tableColumn>
    <tableColumn id="5" xr3:uid="{0CA82F54-2035-F441-AFE6-5FBFBAB5BF94}" name="Category" dataDxfId="339"/>
    <tableColumn id="6" xr3:uid="{14CECA11-8993-BC48-90AA-2099406A2B26}" name="Card" dataDxfId="33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05D6-2602-9C44-80E0-719816CC735B}">
  <dimension ref="A1:I23"/>
  <sheetViews>
    <sheetView workbookViewId="0">
      <selection activeCell="B31" sqref="B31"/>
    </sheetView>
  </sheetViews>
  <sheetFormatPr baseColWidth="10" defaultRowHeight="20" x14ac:dyDescent="0.25"/>
  <cols>
    <col min="1" max="1" width="10.83203125" style="4"/>
    <col min="2" max="2" width="37.1640625" style="4" customWidth="1"/>
    <col min="3" max="3" width="14.5" style="4" customWidth="1"/>
    <col min="4" max="4" width="20" style="4" bestFit="1" customWidth="1"/>
    <col min="5" max="5" width="20.83203125" style="4" customWidth="1"/>
    <col min="6" max="6" width="20" style="4" bestFit="1" customWidth="1"/>
    <col min="7" max="7" width="15.6640625" style="4" bestFit="1" customWidth="1"/>
    <col min="8" max="8" width="17.33203125" style="4" bestFit="1" customWidth="1"/>
    <col min="9" max="16384" width="10.83203125" style="4"/>
  </cols>
  <sheetData>
    <row r="1" spans="1:9" x14ac:dyDescent="0.25">
      <c r="A1" s="1" t="s">
        <v>2</v>
      </c>
      <c r="B1" s="2" t="s">
        <v>3</v>
      </c>
      <c r="C1" s="2" t="s">
        <v>4</v>
      </c>
      <c r="D1" s="2" t="s">
        <v>5</v>
      </c>
      <c r="E1" s="3" t="s">
        <v>6</v>
      </c>
    </row>
    <row r="2" spans="1:9" x14ac:dyDescent="0.25">
      <c r="A2" s="5">
        <v>45294</v>
      </c>
      <c r="B2" s="4" t="s">
        <v>7</v>
      </c>
      <c r="C2" s="7">
        <v>1.93</v>
      </c>
      <c r="D2" s="4" t="s">
        <v>15</v>
      </c>
      <c r="E2" s="4" t="s">
        <v>0</v>
      </c>
      <c r="G2" s="11" t="s">
        <v>27</v>
      </c>
      <c r="H2" s="11" t="s">
        <v>22</v>
      </c>
      <c r="I2"/>
    </row>
    <row r="3" spans="1:9" x14ac:dyDescent="0.25">
      <c r="A3" s="5">
        <v>45294</v>
      </c>
      <c r="B3" s="4" t="s">
        <v>7</v>
      </c>
      <c r="C3" s="7">
        <v>1.93</v>
      </c>
      <c r="D3" s="4" t="s">
        <v>15</v>
      </c>
      <c r="E3" s="4" t="s">
        <v>0</v>
      </c>
      <c r="G3" s="6" t="s">
        <v>15</v>
      </c>
      <c r="H3" s="8">
        <v>46.11</v>
      </c>
      <c r="I3"/>
    </row>
    <row r="4" spans="1:9" x14ac:dyDescent="0.25">
      <c r="A4" s="5">
        <v>45294</v>
      </c>
      <c r="B4" s="4" t="s">
        <v>7</v>
      </c>
      <c r="C4" s="7">
        <v>0.24</v>
      </c>
      <c r="D4" s="4" t="s">
        <v>15</v>
      </c>
      <c r="E4" s="4" t="s">
        <v>0</v>
      </c>
      <c r="G4" s="6" t="s">
        <v>12</v>
      </c>
      <c r="H4" s="8">
        <v>279.32</v>
      </c>
      <c r="I4"/>
    </row>
    <row r="5" spans="1:9" x14ac:dyDescent="0.25">
      <c r="A5" s="5">
        <v>45294</v>
      </c>
      <c r="B5" s="4" t="s">
        <v>7</v>
      </c>
      <c r="C5" s="7">
        <v>2.65</v>
      </c>
      <c r="D5" s="4" t="s">
        <v>15</v>
      </c>
      <c r="E5" s="4" t="s">
        <v>0</v>
      </c>
      <c r="G5" s="6" t="s">
        <v>10</v>
      </c>
      <c r="H5" s="8">
        <v>796</v>
      </c>
      <c r="I5"/>
    </row>
    <row r="6" spans="1:9" x14ac:dyDescent="0.25">
      <c r="A6" s="5">
        <v>45295</v>
      </c>
      <c r="B6" s="4" t="s">
        <v>7</v>
      </c>
      <c r="C6" s="7">
        <v>1.86</v>
      </c>
      <c r="D6" s="4" t="s">
        <v>15</v>
      </c>
      <c r="E6" s="4" t="s">
        <v>0</v>
      </c>
      <c r="G6" s="6" t="s">
        <v>23</v>
      </c>
      <c r="H6" s="8">
        <v>4.9800000000000004</v>
      </c>
      <c r="I6"/>
    </row>
    <row r="7" spans="1:9" x14ac:dyDescent="0.25">
      <c r="A7" s="5">
        <v>45296</v>
      </c>
      <c r="B7" s="4" t="s">
        <v>7</v>
      </c>
      <c r="C7" s="7">
        <v>1.92</v>
      </c>
      <c r="D7" s="4" t="s">
        <v>15</v>
      </c>
      <c r="E7" s="4" t="s">
        <v>0</v>
      </c>
      <c r="G7" s="12" t="s">
        <v>21</v>
      </c>
      <c r="H7" s="13">
        <v>1126.4100000000001</v>
      </c>
      <c r="I7"/>
    </row>
    <row r="8" spans="1:9" x14ac:dyDescent="0.25">
      <c r="A8" s="5">
        <v>45297</v>
      </c>
      <c r="B8" s="4" t="s">
        <v>7</v>
      </c>
      <c r="C8" s="7">
        <v>2.16</v>
      </c>
      <c r="D8" s="4" t="s">
        <v>15</v>
      </c>
      <c r="E8" s="4" t="s">
        <v>0</v>
      </c>
      <c r="G8"/>
      <c r="H8" s="10">
        <f>GETPIVOTDATA("Amount",$G$2)-C15</f>
        <v>426.41000000000008</v>
      </c>
      <c r="I8"/>
    </row>
    <row r="9" spans="1:9" x14ac:dyDescent="0.25">
      <c r="A9" s="5">
        <v>45298</v>
      </c>
      <c r="B9" s="4" t="s">
        <v>7</v>
      </c>
      <c r="C9" s="7">
        <v>2.41</v>
      </c>
      <c r="D9" s="4" t="s">
        <v>15</v>
      </c>
      <c r="E9" s="4" t="s">
        <v>0</v>
      </c>
      <c r="G9"/>
      <c r="H9"/>
      <c r="I9"/>
    </row>
    <row r="10" spans="1:9" x14ac:dyDescent="0.25">
      <c r="A10" s="5">
        <v>45301</v>
      </c>
      <c r="B10" s="4" t="s">
        <v>8</v>
      </c>
      <c r="C10" s="7">
        <v>200</v>
      </c>
      <c r="D10" s="4" t="s">
        <v>12</v>
      </c>
      <c r="E10" s="4" t="s">
        <v>0</v>
      </c>
      <c r="G10" s="9" t="s">
        <v>24</v>
      </c>
      <c r="H10" s="4" t="s">
        <v>25</v>
      </c>
      <c r="I10"/>
    </row>
    <row r="11" spans="1:9" x14ac:dyDescent="0.25">
      <c r="A11" s="5">
        <v>45303</v>
      </c>
      <c r="B11" s="4" t="s">
        <v>9</v>
      </c>
      <c r="C11" s="7">
        <v>2.99</v>
      </c>
      <c r="D11" s="4" t="s">
        <v>23</v>
      </c>
      <c r="E11" s="4" t="s">
        <v>0</v>
      </c>
      <c r="G11"/>
      <c r="H11" s="4" t="s">
        <v>26</v>
      </c>
      <c r="I11"/>
    </row>
    <row r="12" spans="1:9" x14ac:dyDescent="0.25">
      <c r="A12" s="5">
        <v>45307</v>
      </c>
      <c r="B12" s="4" t="s">
        <v>11</v>
      </c>
      <c r="C12" s="7">
        <v>11.23</v>
      </c>
      <c r="D12" s="4" t="s">
        <v>12</v>
      </c>
      <c r="E12" s="4" t="s">
        <v>0</v>
      </c>
      <c r="G12"/>
      <c r="H12"/>
      <c r="I12"/>
    </row>
    <row r="13" spans="1:9" x14ac:dyDescent="0.25">
      <c r="A13" s="5">
        <v>45307</v>
      </c>
      <c r="B13" s="4" t="s">
        <v>13</v>
      </c>
      <c r="C13" s="7">
        <v>53</v>
      </c>
      <c r="D13" s="4" t="s">
        <v>10</v>
      </c>
      <c r="E13" s="4" t="s">
        <v>0</v>
      </c>
      <c r="G13"/>
      <c r="H13"/>
      <c r="I13"/>
    </row>
    <row r="14" spans="1:9" x14ac:dyDescent="0.25">
      <c r="A14" s="5">
        <v>45308</v>
      </c>
      <c r="B14" s="4" t="s">
        <v>7</v>
      </c>
      <c r="C14" s="7">
        <v>2.9</v>
      </c>
      <c r="D14" s="4" t="s">
        <v>15</v>
      </c>
      <c r="E14" s="4" t="s">
        <v>0</v>
      </c>
      <c r="G14"/>
      <c r="H14"/>
      <c r="I14"/>
    </row>
    <row r="15" spans="1:9" x14ac:dyDescent="0.25">
      <c r="A15" s="5">
        <v>45308</v>
      </c>
      <c r="B15" s="4" t="s">
        <v>14</v>
      </c>
      <c r="C15" s="7">
        <v>700</v>
      </c>
      <c r="D15" s="4" t="s">
        <v>10</v>
      </c>
      <c r="E15" s="4" t="s">
        <v>0</v>
      </c>
      <c r="G15"/>
      <c r="H15"/>
      <c r="I15"/>
    </row>
    <row r="16" spans="1:9" x14ac:dyDescent="0.25">
      <c r="A16" s="5">
        <v>45309</v>
      </c>
      <c r="B16" s="4" t="s">
        <v>19</v>
      </c>
      <c r="C16" s="7">
        <v>1.99</v>
      </c>
      <c r="D16" s="4" t="s">
        <v>23</v>
      </c>
      <c r="E16" s="4" t="s">
        <v>0</v>
      </c>
      <c r="G16"/>
      <c r="H16"/>
      <c r="I16"/>
    </row>
    <row r="17" spans="1:9" x14ac:dyDescent="0.25">
      <c r="A17" s="5">
        <v>45311</v>
      </c>
      <c r="B17" s="4" t="s">
        <v>16</v>
      </c>
      <c r="C17" s="7">
        <v>40.43</v>
      </c>
      <c r="D17" s="4" t="s">
        <v>12</v>
      </c>
      <c r="E17" s="4" t="s">
        <v>0</v>
      </c>
      <c r="G17"/>
      <c r="H17"/>
      <c r="I17"/>
    </row>
    <row r="18" spans="1:9" x14ac:dyDescent="0.25">
      <c r="A18" s="5">
        <v>45313</v>
      </c>
      <c r="B18" s="4" t="s">
        <v>17</v>
      </c>
      <c r="C18" s="7">
        <v>21.67</v>
      </c>
      <c r="D18" s="4" t="s">
        <v>12</v>
      </c>
      <c r="E18" s="4" t="s">
        <v>0</v>
      </c>
      <c r="G18"/>
      <c r="H18"/>
      <c r="I18"/>
    </row>
    <row r="19" spans="1:9" x14ac:dyDescent="0.25">
      <c r="A19" s="5">
        <v>45313</v>
      </c>
      <c r="B19" s="4" t="s">
        <v>18</v>
      </c>
      <c r="C19" s="7">
        <v>26</v>
      </c>
      <c r="D19" s="4" t="s">
        <v>15</v>
      </c>
      <c r="E19" s="4" t="s">
        <v>0</v>
      </c>
      <c r="G19"/>
      <c r="H19"/>
      <c r="I19"/>
    </row>
    <row r="20" spans="1:9" x14ac:dyDescent="0.25">
      <c r="A20" s="5">
        <v>45314</v>
      </c>
      <c r="B20" s="4" t="s">
        <v>1</v>
      </c>
      <c r="C20" s="7">
        <v>5.99</v>
      </c>
      <c r="D20" s="4" t="s">
        <v>12</v>
      </c>
      <c r="E20" s="4" t="s">
        <v>0</v>
      </c>
    </row>
    <row r="21" spans="1:9" x14ac:dyDescent="0.25">
      <c r="A21" s="5">
        <v>45317</v>
      </c>
      <c r="B21" s="4" t="s">
        <v>7</v>
      </c>
      <c r="C21" s="7">
        <v>2.11</v>
      </c>
      <c r="D21" s="4" t="s">
        <v>15</v>
      </c>
      <c r="E21" s="4" t="s">
        <v>0</v>
      </c>
    </row>
    <row r="23" spans="1:9" x14ac:dyDescent="0.25">
      <c r="B23" s="4" t="s">
        <v>20</v>
      </c>
      <c r="C23" s="4">
        <f>SUM(Table1[Amount])</f>
        <v>1083.4100000000001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20CD-3F24-B746-82A5-0F10BB8CD5EC}">
  <dimension ref="A1:FDY38"/>
  <sheetViews>
    <sheetView zoomScale="110" zoomScaleNormal="110" workbookViewId="0">
      <selection activeCell="B5" sqref="B5:B19"/>
    </sheetView>
  </sheetViews>
  <sheetFormatPr baseColWidth="10" defaultRowHeight="16" x14ac:dyDescent="0.2"/>
  <cols>
    <col min="2" max="2" width="100.33203125" bestFit="1" customWidth="1"/>
    <col min="3" max="3" width="11.5" customWidth="1"/>
    <col min="4" max="4" width="19.33203125" bestFit="1" customWidth="1"/>
    <col min="5" max="5" width="20.83203125" customWidth="1"/>
    <col min="7" max="7" width="16.33203125" bestFit="1" customWidth="1"/>
    <col min="8" max="8" width="18.1640625" bestFit="1" customWidth="1"/>
  </cols>
  <sheetData>
    <row r="1" spans="1:8 4185:4185" ht="20" x14ac:dyDescent="0.25">
      <c r="A1" s="14" t="s">
        <v>2</v>
      </c>
      <c r="B1" s="15" t="s">
        <v>3</v>
      </c>
      <c r="C1" s="15" t="s">
        <v>4</v>
      </c>
      <c r="D1" s="15" t="s">
        <v>5</v>
      </c>
      <c r="E1" s="16" t="s">
        <v>6</v>
      </c>
    </row>
    <row r="2" spans="1:8 4185:4185" ht="20" x14ac:dyDescent="0.25">
      <c r="A2" s="5">
        <v>45327</v>
      </c>
      <c r="B2" s="4" t="s">
        <v>42</v>
      </c>
      <c r="C2" s="17">
        <v>13.26</v>
      </c>
      <c r="D2" s="4" t="s">
        <v>12</v>
      </c>
      <c r="E2" s="4" t="s">
        <v>0</v>
      </c>
      <c r="G2" s="18" t="s">
        <v>5</v>
      </c>
      <c r="H2" s="18" t="s">
        <v>22</v>
      </c>
    </row>
    <row r="3" spans="1:8 4185:4185" ht="20" x14ac:dyDescent="0.25">
      <c r="A3" s="5">
        <v>45328</v>
      </c>
      <c r="B3" s="4" t="s">
        <v>7</v>
      </c>
      <c r="C3" s="17">
        <v>3.14</v>
      </c>
      <c r="D3" s="4" t="s">
        <v>15</v>
      </c>
      <c r="E3" s="4" t="s">
        <v>0</v>
      </c>
      <c r="G3" s="6" t="s">
        <v>23</v>
      </c>
      <c r="H3" s="8">
        <v>187.81545454545454</v>
      </c>
    </row>
    <row r="4" spans="1:8 4185:4185" ht="20" x14ac:dyDescent="0.25">
      <c r="A4" s="5">
        <v>45328</v>
      </c>
      <c r="B4" s="4" t="s">
        <v>30</v>
      </c>
      <c r="C4" s="17">
        <v>89</v>
      </c>
      <c r="D4" s="4" t="s">
        <v>23</v>
      </c>
      <c r="E4" s="4" t="s">
        <v>0</v>
      </c>
      <c r="G4" s="6" t="s">
        <v>12</v>
      </c>
      <c r="H4" s="8">
        <v>142.4</v>
      </c>
    </row>
    <row r="5" spans="1:8 4185:4185" ht="20" x14ac:dyDescent="0.25">
      <c r="A5" s="5">
        <v>45332</v>
      </c>
      <c r="B5" s="4" t="s">
        <v>7</v>
      </c>
      <c r="C5" s="17">
        <v>3.02</v>
      </c>
      <c r="D5" s="4" t="s">
        <v>15</v>
      </c>
      <c r="E5" s="4" t="s">
        <v>0</v>
      </c>
      <c r="G5" s="6" t="s">
        <v>10</v>
      </c>
      <c r="H5" s="8">
        <v>94.91</v>
      </c>
    </row>
    <row r="6" spans="1:8 4185:4185" ht="20" x14ac:dyDescent="0.25">
      <c r="A6" s="5">
        <v>45333</v>
      </c>
      <c r="B6" s="4" t="s">
        <v>51</v>
      </c>
      <c r="C6" s="17">
        <f>265.95+ 208.36</f>
        <v>474.31</v>
      </c>
      <c r="D6" s="4" t="s">
        <v>50</v>
      </c>
      <c r="E6" s="4" t="s">
        <v>0</v>
      </c>
      <c r="G6" s="6" t="s">
        <v>15</v>
      </c>
      <c r="H6" s="8">
        <v>25.12</v>
      </c>
    </row>
    <row r="7" spans="1:8 4185:4185" ht="20" x14ac:dyDescent="0.25">
      <c r="A7" s="5">
        <v>45334</v>
      </c>
      <c r="B7" s="4" t="s">
        <v>31</v>
      </c>
      <c r="C7" s="17">
        <v>3.54</v>
      </c>
      <c r="D7" s="4" t="s">
        <v>12</v>
      </c>
      <c r="E7" s="4" t="s">
        <v>0</v>
      </c>
      <c r="G7" s="6" t="s">
        <v>47</v>
      </c>
      <c r="H7" s="8">
        <v>39.980000000000004</v>
      </c>
    </row>
    <row r="8" spans="1:8 4185:4185" ht="20" x14ac:dyDescent="0.25">
      <c r="A8" s="5">
        <v>45334</v>
      </c>
      <c r="B8" s="4" t="s">
        <v>31</v>
      </c>
      <c r="C8" s="17">
        <v>10.62</v>
      </c>
      <c r="D8" s="4" t="s">
        <v>12</v>
      </c>
      <c r="E8" s="4" t="s">
        <v>0</v>
      </c>
      <c r="G8" s="6" t="s">
        <v>50</v>
      </c>
      <c r="H8" s="8">
        <v>843.03545454545451</v>
      </c>
    </row>
    <row r="9" spans="1:8 4185:4185" ht="20" x14ac:dyDescent="0.25">
      <c r="A9" s="5">
        <v>45334</v>
      </c>
      <c r="B9" s="4" t="s">
        <v>32</v>
      </c>
      <c r="C9" s="17">
        <v>70</v>
      </c>
      <c r="D9" s="4" t="s">
        <v>12</v>
      </c>
      <c r="E9" s="4" t="s">
        <v>0</v>
      </c>
      <c r="G9" s="6" t="s">
        <v>48</v>
      </c>
      <c r="H9" s="8">
        <v>174</v>
      </c>
    </row>
    <row r="10" spans="1:8 4185:4185" ht="20" x14ac:dyDescent="0.25">
      <c r="A10" s="5">
        <v>45334</v>
      </c>
      <c r="B10" s="4" t="s">
        <v>45</v>
      </c>
      <c r="C10" s="17">
        <f>2.99+1.99</f>
        <v>4.9800000000000004</v>
      </c>
      <c r="D10" s="4" t="s">
        <v>12</v>
      </c>
      <c r="E10" s="4" t="s">
        <v>0</v>
      </c>
      <c r="G10" s="6" t="s">
        <v>43</v>
      </c>
      <c r="H10" s="8">
        <v>99.4</v>
      </c>
    </row>
    <row r="11" spans="1:8 4185:4185" ht="20" x14ac:dyDescent="0.25">
      <c r="A11" s="5">
        <v>45335</v>
      </c>
      <c r="B11" s="4" t="s">
        <v>32</v>
      </c>
      <c r="C11" s="17">
        <v>40</v>
      </c>
      <c r="D11" s="4" t="s">
        <v>12</v>
      </c>
      <c r="E11" s="4" t="s">
        <v>0</v>
      </c>
      <c r="G11" s="9" t="s">
        <v>21</v>
      </c>
      <c r="H11" s="19">
        <v>1606.6609090909092</v>
      </c>
    </row>
    <row r="12" spans="1:8 4185:4185" ht="20" x14ac:dyDescent="0.25">
      <c r="A12" s="5">
        <v>45334</v>
      </c>
      <c r="B12" s="4" t="s">
        <v>52</v>
      </c>
      <c r="C12" s="17">
        <v>43</v>
      </c>
      <c r="D12" s="4" t="s">
        <v>48</v>
      </c>
      <c r="E12" s="4" t="s">
        <v>0</v>
      </c>
      <c r="FDY12" t="s">
        <v>29</v>
      </c>
    </row>
    <row r="13" spans="1:8 4185:4185" ht="20" x14ac:dyDescent="0.25">
      <c r="A13" s="5">
        <v>45335</v>
      </c>
      <c r="B13" s="4" t="s">
        <v>33</v>
      </c>
      <c r="C13" s="17">
        <f>116+15</f>
        <v>131</v>
      </c>
      <c r="D13" s="4" t="s">
        <v>48</v>
      </c>
      <c r="E13" s="4" t="s">
        <v>0</v>
      </c>
    </row>
    <row r="14" spans="1:8 4185:4185" ht="20" x14ac:dyDescent="0.25">
      <c r="A14" s="5">
        <v>45337</v>
      </c>
      <c r="B14" s="4" t="s">
        <v>34</v>
      </c>
      <c r="C14" s="17">
        <v>18</v>
      </c>
      <c r="D14" s="4" t="s">
        <v>47</v>
      </c>
      <c r="E14" s="4" t="s">
        <v>0</v>
      </c>
    </row>
    <row r="15" spans="1:8 4185:4185" ht="20" x14ac:dyDescent="0.25">
      <c r="A15" s="5">
        <v>45338</v>
      </c>
      <c r="B15" s="4" t="s">
        <v>35</v>
      </c>
      <c r="C15" s="17">
        <f>869.17/11</f>
        <v>79.015454545454546</v>
      </c>
      <c r="D15" s="4" t="s">
        <v>23</v>
      </c>
      <c r="E15" s="4" t="s">
        <v>0</v>
      </c>
    </row>
    <row r="16" spans="1:8 4185:4185" ht="20" x14ac:dyDescent="0.25">
      <c r="A16" s="5">
        <v>45339</v>
      </c>
      <c r="B16" s="4" t="s">
        <v>36</v>
      </c>
      <c r="C16" s="17">
        <f>7.35+3.81</f>
        <v>11.16</v>
      </c>
      <c r="D16" s="4" t="s">
        <v>15</v>
      </c>
      <c r="E16" s="4" t="s">
        <v>0</v>
      </c>
    </row>
    <row r="17" spans="1:5" ht="20" x14ac:dyDescent="0.25">
      <c r="A17" s="5">
        <v>45341</v>
      </c>
      <c r="B17" s="4" t="s">
        <v>39</v>
      </c>
      <c r="C17" s="17">
        <v>15.62</v>
      </c>
      <c r="D17" s="4" t="s">
        <v>50</v>
      </c>
      <c r="E17" s="4" t="s">
        <v>0</v>
      </c>
    </row>
    <row r="18" spans="1:5" ht="20" x14ac:dyDescent="0.25">
      <c r="A18" s="5">
        <v>45341</v>
      </c>
      <c r="B18" s="4" t="s">
        <v>39</v>
      </c>
      <c r="C18" s="17">
        <v>16.34</v>
      </c>
      <c r="D18" s="4" t="s">
        <v>50</v>
      </c>
      <c r="E18" s="4" t="s">
        <v>0</v>
      </c>
    </row>
    <row r="19" spans="1:5" ht="20" x14ac:dyDescent="0.25">
      <c r="A19" s="5">
        <v>45341</v>
      </c>
      <c r="B19" s="4" t="s">
        <v>39</v>
      </c>
      <c r="C19" s="17">
        <v>15.27</v>
      </c>
      <c r="D19" s="4" t="s">
        <v>50</v>
      </c>
      <c r="E19" s="4" t="s">
        <v>0</v>
      </c>
    </row>
    <row r="20" spans="1:5" ht="20" x14ac:dyDescent="0.25">
      <c r="A20" s="5">
        <v>45341</v>
      </c>
      <c r="B20" s="4" t="s">
        <v>39</v>
      </c>
      <c r="C20" s="17">
        <v>10.9</v>
      </c>
      <c r="D20" s="4" t="s">
        <v>50</v>
      </c>
      <c r="E20" s="4" t="s">
        <v>0</v>
      </c>
    </row>
    <row r="21" spans="1:5" ht="20" x14ac:dyDescent="0.25">
      <c r="A21" s="5">
        <v>45341</v>
      </c>
      <c r="B21" s="4" t="s">
        <v>39</v>
      </c>
      <c r="C21" s="17">
        <v>20.88</v>
      </c>
      <c r="D21" s="4" t="s">
        <v>50</v>
      </c>
      <c r="E21" s="4" t="s">
        <v>0</v>
      </c>
    </row>
    <row r="22" spans="1:5" ht="20" x14ac:dyDescent="0.25">
      <c r="A22" s="5">
        <v>45341</v>
      </c>
      <c r="B22" s="4" t="s">
        <v>39</v>
      </c>
      <c r="C22" s="17">
        <v>17.61</v>
      </c>
      <c r="D22" s="4" t="s">
        <v>50</v>
      </c>
      <c r="E22" s="4" t="s">
        <v>0</v>
      </c>
    </row>
    <row r="23" spans="1:5" ht="20" x14ac:dyDescent="0.25">
      <c r="A23" s="5">
        <v>45341</v>
      </c>
      <c r="B23" s="4" t="s">
        <v>39</v>
      </c>
      <c r="C23" s="17">
        <v>10.62</v>
      </c>
      <c r="D23" s="4" t="s">
        <v>50</v>
      </c>
      <c r="E23" s="4" t="s">
        <v>0</v>
      </c>
    </row>
    <row r="24" spans="1:5" ht="20" x14ac:dyDescent="0.25">
      <c r="A24" s="5">
        <v>45341</v>
      </c>
      <c r="B24" s="4" t="s">
        <v>39</v>
      </c>
      <c r="C24" s="17">
        <v>21.98</v>
      </c>
      <c r="D24" s="4" t="s">
        <v>47</v>
      </c>
      <c r="E24" s="4" t="s">
        <v>0</v>
      </c>
    </row>
    <row r="25" spans="1:5" ht="20" x14ac:dyDescent="0.25">
      <c r="A25" s="5">
        <v>45341</v>
      </c>
      <c r="B25" s="4" t="s">
        <v>46</v>
      </c>
      <c r="C25" s="17">
        <f>149.77/11</f>
        <v>13.615454545454547</v>
      </c>
      <c r="D25" s="4" t="s">
        <v>50</v>
      </c>
      <c r="E25" s="4" t="s">
        <v>0</v>
      </c>
    </row>
    <row r="26" spans="1:5" ht="20" x14ac:dyDescent="0.25">
      <c r="A26" s="5">
        <v>45342</v>
      </c>
      <c r="B26" s="4" t="s">
        <v>28</v>
      </c>
      <c r="C26" s="17">
        <v>95.31</v>
      </c>
      <c r="D26" s="4" t="s">
        <v>50</v>
      </c>
      <c r="E26" s="4" t="s">
        <v>0</v>
      </c>
    </row>
    <row r="27" spans="1:5" ht="20" x14ac:dyDescent="0.25">
      <c r="A27" s="5">
        <v>45342</v>
      </c>
      <c r="B27" s="4" t="s">
        <v>39</v>
      </c>
      <c r="C27" s="17">
        <v>29.18</v>
      </c>
      <c r="D27" s="4" t="s">
        <v>50</v>
      </c>
      <c r="E27" s="4" t="s">
        <v>0</v>
      </c>
    </row>
    <row r="28" spans="1:5" ht="20" x14ac:dyDescent="0.25">
      <c r="A28" s="5">
        <v>45342</v>
      </c>
      <c r="B28" s="4" t="s">
        <v>38</v>
      </c>
      <c r="C28" s="17">
        <v>18.079999999999998</v>
      </c>
      <c r="D28" s="4" t="s">
        <v>50</v>
      </c>
      <c r="E28" s="4" t="s">
        <v>0</v>
      </c>
    </row>
    <row r="29" spans="1:5" ht="20" x14ac:dyDescent="0.25">
      <c r="A29" s="5">
        <v>45342</v>
      </c>
      <c r="B29" s="4" t="s">
        <v>37</v>
      </c>
      <c r="C29" s="17">
        <v>94.91</v>
      </c>
      <c r="D29" s="4" t="s">
        <v>10</v>
      </c>
      <c r="E29" s="4" t="s">
        <v>0</v>
      </c>
    </row>
    <row r="30" spans="1:5" ht="20" x14ac:dyDescent="0.25">
      <c r="A30" s="5">
        <v>45342</v>
      </c>
      <c r="B30" s="4" t="s">
        <v>39</v>
      </c>
      <c r="C30" s="17">
        <v>25.54</v>
      </c>
      <c r="D30" s="4" t="s">
        <v>50</v>
      </c>
      <c r="E30" s="4" t="s">
        <v>0</v>
      </c>
    </row>
    <row r="31" spans="1:5" ht="20" x14ac:dyDescent="0.25">
      <c r="A31" s="5">
        <v>45342</v>
      </c>
      <c r="B31" s="4" t="s">
        <v>49</v>
      </c>
      <c r="C31" s="17">
        <v>16.34</v>
      </c>
      <c r="D31" s="4" t="s">
        <v>50</v>
      </c>
      <c r="E31" s="4" t="s">
        <v>0</v>
      </c>
    </row>
    <row r="32" spans="1:5" ht="20" x14ac:dyDescent="0.25">
      <c r="A32" s="5">
        <v>45343</v>
      </c>
      <c r="B32" s="4" t="s">
        <v>39</v>
      </c>
      <c r="C32" s="17">
        <v>18.04</v>
      </c>
      <c r="D32" s="4" t="s">
        <v>50</v>
      </c>
      <c r="E32" s="4" t="s">
        <v>0</v>
      </c>
    </row>
    <row r="33" spans="1:5" ht="20" x14ac:dyDescent="0.25">
      <c r="A33" s="5">
        <v>45343</v>
      </c>
      <c r="B33" s="4" t="s">
        <v>39</v>
      </c>
      <c r="C33" s="17">
        <v>11.68</v>
      </c>
      <c r="D33" s="4" t="s">
        <v>50</v>
      </c>
      <c r="E33" s="4" t="s">
        <v>0</v>
      </c>
    </row>
    <row r="34" spans="1:5" ht="20" x14ac:dyDescent="0.25">
      <c r="A34" s="5">
        <v>45343</v>
      </c>
      <c r="B34" s="4" t="s">
        <v>39</v>
      </c>
      <c r="C34" s="17">
        <v>15.62</v>
      </c>
      <c r="D34" s="4" t="s">
        <v>50</v>
      </c>
      <c r="E34" s="4" t="s">
        <v>0</v>
      </c>
    </row>
    <row r="35" spans="1:5" ht="20" x14ac:dyDescent="0.25">
      <c r="A35" s="5">
        <v>45343</v>
      </c>
      <c r="B35" s="4" t="s">
        <v>39</v>
      </c>
      <c r="C35" s="17">
        <v>18.079999999999998</v>
      </c>
      <c r="D35" s="4" t="s">
        <v>50</v>
      </c>
      <c r="E35" s="4" t="s">
        <v>0</v>
      </c>
    </row>
    <row r="36" spans="1:5" ht="20" x14ac:dyDescent="0.25">
      <c r="A36" s="5">
        <v>45345</v>
      </c>
      <c r="B36" s="4" t="s">
        <v>40</v>
      </c>
      <c r="C36" s="17">
        <v>19.8</v>
      </c>
      <c r="D36" s="4" t="s">
        <v>23</v>
      </c>
      <c r="E36" s="4" t="s">
        <v>0</v>
      </c>
    </row>
    <row r="37" spans="1:5" ht="20" x14ac:dyDescent="0.25">
      <c r="A37" s="5">
        <v>45347</v>
      </c>
      <c r="B37" s="4" t="s">
        <v>44</v>
      </c>
      <c r="C37" s="17">
        <v>99.4</v>
      </c>
      <c r="D37" s="4" t="s">
        <v>43</v>
      </c>
      <c r="E37" s="4" t="s">
        <v>0</v>
      </c>
    </row>
    <row r="38" spans="1:5" ht="20" x14ac:dyDescent="0.25">
      <c r="A38" s="5">
        <v>45348</v>
      </c>
      <c r="B38" s="4" t="s">
        <v>41</v>
      </c>
      <c r="C38" s="17">
        <v>7.8</v>
      </c>
      <c r="D38" s="4" t="s">
        <v>15</v>
      </c>
      <c r="E38" s="4" t="s">
        <v>0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8453-0FC7-2C44-A099-BC4E98B19FA9}">
  <dimension ref="A1:H44"/>
  <sheetViews>
    <sheetView topLeftCell="B5" zoomScaleNormal="100" workbookViewId="0">
      <selection sqref="A1:E1"/>
    </sheetView>
  </sheetViews>
  <sheetFormatPr baseColWidth="10" defaultRowHeight="16" x14ac:dyDescent="0.2"/>
  <cols>
    <col min="2" max="2" width="50.6640625" bestFit="1" customWidth="1"/>
    <col min="3" max="3" width="13.83203125" bestFit="1" customWidth="1"/>
    <col min="4" max="4" width="16.33203125" bestFit="1" customWidth="1"/>
    <col min="5" max="5" width="20.83203125" customWidth="1"/>
    <col min="7" max="7" width="15.5" bestFit="1" customWidth="1"/>
    <col min="8" max="8" width="13.83203125" bestFit="1" customWidth="1"/>
  </cols>
  <sheetData>
    <row r="1" spans="1:8" ht="20" x14ac:dyDescent="0.25">
      <c r="A1" s="1" t="s">
        <v>2</v>
      </c>
      <c r="B1" s="2" t="s">
        <v>3</v>
      </c>
      <c r="C1" s="2" t="s">
        <v>4</v>
      </c>
      <c r="D1" s="2" t="s">
        <v>5</v>
      </c>
      <c r="E1" s="3" t="s">
        <v>6</v>
      </c>
    </row>
    <row r="2" spans="1:8" ht="20" x14ac:dyDescent="0.25">
      <c r="A2" s="5">
        <v>45358</v>
      </c>
      <c r="B2" s="4" t="s">
        <v>64</v>
      </c>
      <c r="C2" s="21">
        <v>5.6</v>
      </c>
      <c r="D2" s="4" t="s">
        <v>10</v>
      </c>
      <c r="E2" s="4"/>
      <c r="G2" s="23" t="s">
        <v>5</v>
      </c>
      <c r="H2" s="23" t="s">
        <v>94</v>
      </c>
    </row>
    <row r="3" spans="1:8" ht="20" x14ac:dyDescent="0.25">
      <c r="A3" s="5">
        <v>45358</v>
      </c>
      <c r="B3" s="4" t="s">
        <v>64</v>
      </c>
      <c r="C3" s="21">
        <v>5.6</v>
      </c>
      <c r="D3" s="4" t="s">
        <v>10</v>
      </c>
      <c r="E3" s="4"/>
      <c r="G3" s="9" t="s">
        <v>15</v>
      </c>
      <c r="H3" s="22">
        <v>208.84833333333336</v>
      </c>
    </row>
    <row r="4" spans="1:8" ht="20" x14ac:dyDescent="0.25">
      <c r="A4" s="5">
        <v>45358</v>
      </c>
      <c r="B4" s="4" t="s">
        <v>65</v>
      </c>
      <c r="C4" s="21">
        <v>9.65</v>
      </c>
      <c r="D4" s="4" t="s">
        <v>15</v>
      </c>
      <c r="E4" s="4"/>
      <c r="G4" s="9" t="s">
        <v>54</v>
      </c>
      <c r="H4" s="22">
        <v>225.39</v>
      </c>
    </row>
    <row r="5" spans="1:8" ht="20" x14ac:dyDescent="0.25">
      <c r="A5" s="5">
        <v>45359</v>
      </c>
      <c r="B5" s="4" t="s">
        <v>66</v>
      </c>
      <c r="C5" s="21">
        <v>5.6</v>
      </c>
      <c r="D5" s="4" t="s">
        <v>10</v>
      </c>
      <c r="E5" s="4"/>
      <c r="G5" s="9" t="s">
        <v>12</v>
      </c>
      <c r="H5" s="22">
        <v>539.75000000000011</v>
      </c>
    </row>
    <row r="6" spans="1:8" ht="20" x14ac:dyDescent="0.25">
      <c r="A6" s="5">
        <v>45359</v>
      </c>
      <c r="B6" s="20" t="s">
        <v>67</v>
      </c>
      <c r="C6" s="21">
        <v>77</v>
      </c>
      <c r="D6" s="4" t="s">
        <v>92</v>
      </c>
      <c r="E6" s="4"/>
      <c r="G6" s="9" t="s">
        <v>10</v>
      </c>
      <c r="H6" s="22">
        <v>450.375</v>
      </c>
    </row>
    <row r="7" spans="1:8" ht="20" x14ac:dyDescent="0.25">
      <c r="A7" s="5">
        <v>45360</v>
      </c>
      <c r="B7" s="4" t="s">
        <v>95</v>
      </c>
      <c r="C7" s="21">
        <f>93.17+22.38</f>
        <v>115.55</v>
      </c>
      <c r="D7" s="4" t="s">
        <v>12</v>
      </c>
      <c r="E7" s="4"/>
      <c r="G7" s="9" t="s">
        <v>92</v>
      </c>
      <c r="H7" s="22">
        <v>85.99</v>
      </c>
    </row>
    <row r="8" spans="1:8" ht="20" x14ac:dyDescent="0.25">
      <c r="A8" s="5">
        <v>45360</v>
      </c>
      <c r="B8" s="4" t="s">
        <v>68</v>
      </c>
      <c r="C8" s="21">
        <f>68.62/3</f>
        <v>22.873333333333335</v>
      </c>
      <c r="D8" s="4" t="s">
        <v>15</v>
      </c>
      <c r="E8" s="4"/>
      <c r="G8" s="23" t="s">
        <v>21</v>
      </c>
      <c r="H8" s="22">
        <v>1510.3533333333335</v>
      </c>
    </row>
    <row r="9" spans="1:8" ht="20" x14ac:dyDescent="0.25">
      <c r="A9" s="5">
        <v>45361</v>
      </c>
      <c r="B9" s="4" t="s">
        <v>39</v>
      </c>
      <c r="C9" s="21">
        <v>7.92</v>
      </c>
      <c r="D9" s="4" t="s">
        <v>10</v>
      </c>
      <c r="E9" s="4"/>
    </row>
    <row r="10" spans="1:8" ht="20" x14ac:dyDescent="0.25">
      <c r="A10" s="5">
        <v>45361</v>
      </c>
      <c r="B10" s="4" t="s">
        <v>69</v>
      </c>
      <c r="C10" s="21">
        <v>70.09</v>
      </c>
      <c r="D10" s="4" t="s">
        <v>10</v>
      </c>
      <c r="E10" s="4"/>
    </row>
    <row r="11" spans="1:8" ht="20" x14ac:dyDescent="0.25">
      <c r="A11" s="5">
        <v>45362</v>
      </c>
      <c r="B11" s="4" t="s">
        <v>70</v>
      </c>
      <c r="C11" s="21">
        <v>5.6</v>
      </c>
      <c r="D11" s="4" t="s">
        <v>10</v>
      </c>
      <c r="E11" s="4"/>
    </row>
    <row r="12" spans="1:8" ht="20" x14ac:dyDescent="0.25">
      <c r="A12" s="5">
        <v>45363</v>
      </c>
      <c r="B12" s="4" t="s">
        <v>71</v>
      </c>
      <c r="C12" s="21">
        <v>40</v>
      </c>
      <c r="D12" s="4" t="s">
        <v>10</v>
      </c>
      <c r="E12" s="4"/>
    </row>
    <row r="13" spans="1:8" ht="20" x14ac:dyDescent="0.25">
      <c r="A13" s="5">
        <v>45366</v>
      </c>
      <c r="B13" s="4" t="s">
        <v>72</v>
      </c>
      <c r="C13" s="21">
        <v>4.3099999999999996</v>
      </c>
      <c r="D13" s="4" t="s">
        <v>12</v>
      </c>
      <c r="E13" s="4"/>
    </row>
    <row r="14" spans="1:8" ht="20" x14ac:dyDescent="0.25">
      <c r="A14" s="5">
        <v>45366</v>
      </c>
      <c r="B14" s="4" t="s">
        <v>73</v>
      </c>
      <c r="C14" s="21">
        <v>20.28</v>
      </c>
      <c r="D14" s="4" t="s">
        <v>15</v>
      </c>
      <c r="E14" s="4"/>
    </row>
    <row r="15" spans="1:8" ht="20" x14ac:dyDescent="0.25">
      <c r="A15" s="5">
        <v>45366</v>
      </c>
      <c r="B15" s="4" t="s">
        <v>74</v>
      </c>
      <c r="C15" s="21">
        <f>280.61-207.89</f>
        <v>72.720000000000027</v>
      </c>
      <c r="D15" s="4" t="s">
        <v>12</v>
      </c>
      <c r="E15" s="4"/>
    </row>
    <row r="16" spans="1:8" ht="20" x14ac:dyDescent="0.25">
      <c r="A16" s="5">
        <v>45366</v>
      </c>
      <c r="B16" s="4" t="s">
        <v>75</v>
      </c>
      <c r="C16" s="21">
        <v>28</v>
      </c>
      <c r="D16" s="4" t="s">
        <v>12</v>
      </c>
      <c r="E16" s="4"/>
    </row>
    <row r="17" spans="1:5" ht="20" x14ac:dyDescent="0.25">
      <c r="A17" s="5">
        <v>45367</v>
      </c>
      <c r="B17" s="4" t="s">
        <v>76</v>
      </c>
      <c r="C17" s="21">
        <v>2.1</v>
      </c>
      <c r="D17" s="4" t="s">
        <v>12</v>
      </c>
      <c r="E17" s="4"/>
    </row>
    <row r="18" spans="1:5" ht="20" x14ac:dyDescent="0.25">
      <c r="A18" s="5">
        <v>45367</v>
      </c>
      <c r="B18" s="4" t="s">
        <v>88</v>
      </c>
      <c r="C18" s="21">
        <f>10.76*2</f>
        <v>21.52</v>
      </c>
      <c r="D18" s="4" t="s">
        <v>12</v>
      </c>
      <c r="E18" s="4"/>
    </row>
    <row r="19" spans="1:5" ht="20" x14ac:dyDescent="0.25">
      <c r="A19" s="5">
        <v>45368</v>
      </c>
      <c r="B19" s="4" t="s">
        <v>93</v>
      </c>
      <c r="C19" s="21">
        <v>119.04</v>
      </c>
      <c r="D19" s="4" t="s">
        <v>12</v>
      </c>
      <c r="E19" s="4"/>
    </row>
    <row r="20" spans="1:5" ht="20" x14ac:dyDescent="0.25">
      <c r="A20" s="5">
        <v>45369</v>
      </c>
      <c r="B20" s="4" t="s">
        <v>57</v>
      </c>
      <c r="C20" s="21">
        <v>7.5</v>
      </c>
      <c r="D20" s="4" t="s">
        <v>10</v>
      </c>
      <c r="E20" s="4"/>
    </row>
    <row r="21" spans="1:5" ht="20" x14ac:dyDescent="0.25">
      <c r="A21" s="5">
        <v>45369</v>
      </c>
      <c r="B21" s="4" t="s">
        <v>59</v>
      </c>
      <c r="C21" s="21">
        <v>60.57</v>
      </c>
      <c r="D21" s="4" t="s">
        <v>54</v>
      </c>
      <c r="E21" s="4"/>
    </row>
    <row r="22" spans="1:5" ht="20" x14ac:dyDescent="0.25">
      <c r="A22" s="5">
        <v>45369</v>
      </c>
      <c r="B22" s="4" t="s">
        <v>60</v>
      </c>
      <c r="C22" s="21">
        <v>13.98</v>
      </c>
      <c r="D22" s="4" t="s">
        <v>54</v>
      </c>
      <c r="E22" s="4"/>
    </row>
    <row r="23" spans="1:5" ht="20" x14ac:dyDescent="0.25">
      <c r="A23" s="5">
        <v>45369</v>
      </c>
      <c r="B23" s="4" t="s">
        <v>61</v>
      </c>
      <c r="C23" s="21">
        <v>13.97</v>
      </c>
      <c r="D23" s="4" t="s">
        <v>54</v>
      </c>
      <c r="E23" s="4"/>
    </row>
    <row r="24" spans="1:5" ht="20" x14ac:dyDescent="0.25">
      <c r="A24" s="5">
        <v>45369</v>
      </c>
      <c r="B24" s="4" t="s">
        <v>91</v>
      </c>
      <c r="C24" s="21">
        <v>10</v>
      </c>
      <c r="D24" s="4" t="s">
        <v>54</v>
      </c>
      <c r="E24" s="4"/>
    </row>
    <row r="25" spans="1:5" ht="20" x14ac:dyDescent="0.25">
      <c r="A25" s="5">
        <v>45369</v>
      </c>
      <c r="B25" s="20" t="s">
        <v>62</v>
      </c>
      <c r="C25" s="21">
        <v>4.9800000000000004</v>
      </c>
      <c r="D25" s="4" t="s">
        <v>12</v>
      </c>
      <c r="E25" s="4"/>
    </row>
    <row r="26" spans="1:5" ht="20" x14ac:dyDescent="0.25">
      <c r="A26" s="5">
        <v>45369</v>
      </c>
      <c r="B26" s="4" t="s">
        <v>77</v>
      </c>
      <c r="C26" s="21">
        <v>43.05</v>
      </c>
      <c r="D26" s="4" t="s">
        <v>12</v>
      </c>
      <c r="E26" s="4"/>
    </row>
    <row r="27" spans="1:5" ht="20" x14ac:dyDescent="0.25">
      <c r="A27" s="5">
        <v>45370</v>
      </c>
      <c r="B27" s="4" t="s">
        <v>78</v>
      </c>
      <c r="C27" s="21">
        <v>46</v>
      </c>
      <c r="D27" s="4" t="s">
        <v>12</v>
      </c>
      <c r="E27" s="4"/>
    </row>
    <row r="28" spans="1:5" ht="20" x14ac:dyDescent="0.25">
      <c r="A28" s="5">
        <v>45370</v>
      </c>
      <c r="B28" s="4" t="s">
        <v>79</v>
      </c>
      <c r="C28" s="21">
        <v>15</v>
      </c>
      <c r="D28" s="4" t="s">
        <v>10</v>
      </c>
      <c r="E28" s="4"/>
    </row>
    <row r="29" spans="1:5" ht="20" x14ac:dyDescent="0.25">
      <c r="A29" s="5">
        <v>45370</v>
      </c>
      <c r="B29" s="4" t="s">
        <v>58</v>
      </c>
      <c r="C29" s="21">
        <v>114.93</v>
      </c>
      <c r="D29" s="4" t="s">
        <v>54</v>
      </c>
      <c r="E29" s="4"/>
    </row>
    <row r="30" spans="1:5" ht="20" x14ac:dyDescent="0.25">
      <c r="A30" s="5">
        <v>45371</v>
      </c>
      <c r="B30" s="4" t="s">
        <v>55</v>
      </c>
      <c r="C30" s="21">
        <v>27.42</v>
      </c>
      <c r="D30" s="4" t="s">
        <v>15</v>
      </c>
      <c r="E30" s="4"/>
    </row>
    <row r="31" spans="1:5" ht="20" x14ac:dyDescent="0.25">
      <c r="A31" s="5">
        <v>45371</v>
      </c>
      <c r="B31" s="4" t="s">
        <v>56</v>
      </c>
      <c r="C31" s="21">
        <v>30</v>
      </c>
      <c r="D31" s="4" t="s">
        <v>10</v>
      </c>
      <c r="E31" s="4"/>
    </row>
    <row r="32" spans="1:5" ht="20" x14ac:dyDescent="0.25">
      <c r="A32" s="5">
        <v>45371</v>
      </c>
      <c r="B32" s="20" t="s">
        <v>63</v>
      </c>
      <c r="C32" s="21">
        <v>8.99</v>
      </c>
      <c r="D32" s="4" t="s">
        <v>92</v>
      </c>
      <c r="E32" s="4"/>
    </row>
    <row r="33" spans="1:5" ht="20" x14ac:dyDescent="0.25">
      <c r="A33" s="5">
        <v>45371</v>
      </c>
      <c r="B33" s="4" t="s">
        <v>89</v>
      </c>
      <c r="C33" s="21">
        <v>80.489999999999995</v>
      </c>
      <c r="D33" s="4" t="s">
        <v>12</v>
      </c>
      <c r="E33" s="4"/>
    </row>
    <row r="34" spans="1:5" ht="20" x14ac:dyDescent="0.25">
      <c r="A34" s="5">
        <v>45372</v>
      </c>
      <c r="B34" s="4" t="s">
        <v>90</v>
      </c>
      <c r="C34" s="21">
        <v>1.99</v>
      </c>
      <c r="D34" s="4" t="s">
        <v>12</v>
      </c>
      <c r="E34" s="4"/>
    </row>
    <row r="35" spans="1:5" ht="20" x14ac:dyDescent="0.25">
      <c r="A35" s="5">
        <v>45373</v>
      </c>
      <c r="B35" s="4" t="s">
        <v>80</v>
      </c>
      <c r="C35" s="21">
        <f>31.05/2</f>
        <v>15.525</v>
      </c>
      <c r="D35" s="4" t="s">
        <v>15</v>
      </c>
      <c r="E35" s="4"/>
    </row>
    <row r="36" spans="1:5" ht="20" x14ac:dyDescent="0.25">
      <c r="A36" s="5">
        <v>45373</v>
      </c>
      <c r="B36" s="4" t="s">
        <v>81</v>
      </c>
      <c r="C36" s="21">
        <v>11.94</v>
      </c>
      <c r="D36" s="4" t="s">
        <v>54</v>
      </c>
      <c r="E36" s="4"/>
    </row>
    <row r="37" spans="1:5" ht="20" x14ac:dyDescent="0.25">
      <c r="A37" s="5">
        <v>45374</v>
      </c>
      <c r="B37" s="4" t="s">
        <v>82</v>
      </c>
      <c r="C37" s="21">
        <v>30.51</v>
      </c>
      <c r="D37" s="4" t="s">
        <v>15</v>
      </c>
      <c r="E37" s="4"/>
    </row>
    <row r="38" spans="1:5" ht="20" x14ac:dyDescent="0.25">
      <c r="A38" s="5">
        <v>45374</v>
      </c>
      <c r="B38" s="4" t="s">
        <v>83</v>
      </c>
      <c r="C38" s="21">
        <f>18.99+4.3</f>
        <v>23.29</v>
      </c>
      <c r="D38" s="4" t="s">
        <v>15</v>
      </c>
      <c r="E38" s="4"/>
    </row>
    <row r="39" spans="1:5" ht="20" x14ac:dyDescent="0.25">
      <c r="A39" s="5">
        <v>45376</v>
      </c>
      <c r="B39" s="4" t="s">
        <v>53</v>
      </c>
      <c r="C39" s="21">
        <f>57.09/2</f>
        <v>28.545000000000002</v>
      </c>
      <c r="D39" s="4" t="s">
        <v>15</v>
      </c>
      <c r="E39" s="4"/>
    </row>
    <row r="40" spans="1:5" ht="20" x14ac:dyDescent="0.25">
      <c r="A40" s="5">
        <v>45376</v>
      </c>
      <c r="B40" s="4" t="s">
        <v>84</v>
      </c>
      <c r="C40" s="21">
        <f>24.77/2</f>
        <v>12.385</v>
      </c>
      <c r="D40" s="4" t="s">
        <v>15</v>
      </c>
      <c r="E40" s="4"/>
    </row>
    <row r="41" spans="1:5" ht="20" x14ac:dyDescent="0.25">
      <c r="A41" s="5">
        <v>45377</v>
      </c>
      <c r="B41" s="4" t="s">
        <v>85</v>
      </c>
      <c r="C41" s="21">
        <f>127.43/2</f>
        <v>63.715000000000003</v>
      </c>
      <c r="D41" s="4" t="s">
        <v>10</v>
      </c>
      <c r="E41" s="4"/>
    </row>
    <row r="42" spans="1:5" ht="20" x14ac:dyDescent="0.25">
      <c r="A42" s="5">
        <v>45378</v>
      </c>
      <c r="B42" s="4" t="s">
        <v>84</v>
      </c>
      <c r="C42" s="21">
        <v>8.48</v>
      </c>
      <c r="D42" s="4" t="s">
        <v>15</v>
      </c>
      <c r="E42" s="4"/>
    </row>
    <row r="43" spans="1:5" ht="20" x14ac:dyDescent="0.25">
      <c r="A43" s="5">
        <v>45379</v>
      </c>
      <c r="B43" s="4" t="s">
        <v>86</v>
      </c>
      <c r="C43" s="21">
        <v>9.89</v>
      </c>
      <c r="D43" s="4" t="s">
        <v>15</v>
      </c>
      <c r="E43" s="4"/>
    </row>
    <row r="44" spans="1:5" ht="20" x14ac:dyDescent="0.25">
      <c r="A44" s="5">
        <v>45379</v>
      </c>
      <c r="B44" s="4" t="s">
        <v>87</v>
      </c>
      <c r="C44" s="21">
        <v>193.75</v>
      </c>
      <c r="D44" s="4" t="s">
        <v>10</v>
      </c>
      <c r="E44" s="4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88CA-9622-C847-986F-03F6D41EFA36}">
  <dimension ref="A1:I39"/>
  <sheetViews>
    <sheetView workbookViewId="0">
      <selection activeCell="G17" sqref="G17"/>
    </sheetView>
  </sheetViews>
  <sheetFormatPr baseColWidth="10" defaultRowHeight="20" x14ac:dyDescent="0.25"/>
  <cols>
    <col min="1" max="1" width="10.83203125" style="4"/>
    <col min="2" max="2" width="41.33203125" style="4" bestFit="1" customWidth="1"/>
    <col min="3" max="3" width="11.83203125" style="4" customWidth="1"/>
    <col min="4" max="4" width="15.6640625" style="4" bestFit="1" customWidth="1"/>
    <col min="5" max="5" width="20.83203125" style="4" customWidth="1"/>
    <col min="6" max="6" width="10.83203125" style="4"/>
    <col min="7" max="7" width="15.6640625" style="4" bestFit="1" customWidth="1"/>
    <col min="8" max="8" width="13.5" style="4" bestFit="1" customWidth="1"/>
    <col min="9" max="16384" width="10.83203125" style="4"/>
  </cols>
  <sheetData>
    <row r="1" spans="1:9" x14ac:dyDescent="0.25">
      <c r="A1" s="1" t="s">
        <v>2</v>
      </c>
      <c r="B1" s="2" t="s">
        <v>3</v>
      </c>
      <c r="C1" s="2" t="s">
        <v>4</v>
      </c>
      <c r="D1" s="2" t="s">
        <v>5</v>
      </c>
      <c r="E1" s="3" t="s">
        <v>6</v>
      </c>
    </row>
    <row r="2" spans="1:9" x14ac:dyDescent="0.25">
      <c r="A2" s="5">
        <v>45385</v>
      </c>
      <c r="B2" s="4" t="s">
        <v>105</v>
      </c>
      <c r="C2" s="17">
        <v>21.54</v>
      </c>
      <c r="D2" s="4" t="s">
        <v>12</v>
      </c>
      <c r="E2" s="4" t="s">
        <v>101</v>
      </c>
      <c r="G2" s="25" t="s">
        <v>5</v>
      </c>
      <c r="H2" s="25" t="s">
        <v>94</v>
      </c>
      <c r="I2"/>
    </row>
    <row r="3" spans="1:9" x14ac:dyDescent="0.25">
      <c r="A3" s="5">
        <v>45387</v>
      </c>
      <c r="B3" s="4" t="s">
        <v>106</v>
      </c>
      <c r="C3" s="17">
        <v>17</v>
      </c>
      <c r="D3" s="4" t="s">
        <v>12</v>
      </c>
      <c r="E3" s="4" t="s">
        <v>101</v>
      </c>
      <c r="G3" s="9" t="s">
        <v>104</v>
      </c>
      <c r="H3" s="22">
        <v>4.79</v>
      </c>
      <c r="I3"/>
    </row>
    <row r="4" spans="1:9" x14ac:dyDescent="0.25">
      <c r="A4" s="5">
        <v>45388</v>
      </c>
      <c r="B4" s="4" t="s">
        <v>107</v>
      </c>
      <c r="C4" s="17">
        <v>107.76</v>
      </c>
      <c r="D4" s="4" t="s">
        <v>12</v>
      </c>
      <c r="E4" s="4" t="s">
        <v>101</v>
      </c>
      <c r="G4" s="9" t="s">
        <v>23</v>
      </c>
      <c r="H4" s="22">
        <v>15.98</v>
      </c>
      <c r="I4"/>
    </row>
    <row r="5" spans="1:9" x14ac:dyDescent="0.25">
      <c r="A5" s="5">
        <v>45388</v>
      </c>
      <c r="B5" s="4" t="s">
        <v>108</v>
      </c>
      <c r="C5" s="17">
        <v>16.399999999999999</v>
      </c>
      <c r="D5" s="4" t="s">
        <v>15</v>
      </c>
      <c r="E5" s="4" t="s">
        <v>101</v>
      </c>
      <c r="G5" s="9" t="s">
        <v>15</v>
      </c>
      <c r="H5" s="22">
        <v>85.249999999999986</v>
      </c>
      <c r="I5"/>
    </row>
    <row r="6" spans="1:9" x14ac:dyDescent="0.25">
      <c r="A6" s="5">
        <v>45389</v>
      </c>
      <c r="B6" s="4" t="s">
        <v>110</v>
      </c>
      <c r="C6" s="17">
        <v>15.99</v>
      </c>
      <c r="D6" s="4" t="s">
        <v>54</v>
      </c>
      <c r="E6" s="4" t="s">
        <v>101</v>
      </c>
      <c r="G6" s="9" t="s">
        <v>54</v>
      </c>
      <c r="H6" s="22">
        <v>20.36</v>
      </c>
      <c r="I6"/>
    </row>
    <row r="7" spans="1:9" x14ac:dyDescent="0.25">
      <c r="A7" s="5">
        <v>45389</v>
      </c>
      <c r="B7" s="4" t="s">
        <v>111</v>
      </c>
      <c r="C7" s="17">
        <v>14.28</v>
      </c>
      <c r="D7" s="4" t="s">
        <v>15</v>
      </c>
      <c r="E7" s="4" t="s">
        <v>101</v>
      </c>
      <c r="G7" s="9" t="s">
        <v>12</v>
      </c>
      <c r="H7" s="22">
        <v>475.59999999999997</v>
      </c>
      <c r="I7"/>
    </row>
    <row r="8" spans="1:9" x14ac:dyDescent="0.25">
      <c r="A8" s="5">
        <v>45389</v>
      </c>
      <c r="B8" s="4" t="s">
        <v>112</v>
      </c>
      <c r="C8" s="17">
        <v>20.239999999999998</v>
      </c>
      <c r="D8" s="4" t="s">
        <v>12</v>
      </c>
      <c r="E8" s="4" t="s">
        <v>101</v>
      </c>
      <c r="G8" s="9" t="s">
        <v>10</v>
      </c>
      <c r="H8" s="22">
        <v>458.87333333333339</v>
      </c>
      <c r="I8"/>
    </row>
    <row r="9" spans="1:9" x14ac:dyDescent="0.25">
      <c r="A9" s="5">
        <v>45390</v>
      </c>
      <c r="B9" s="4" t="s">
        <v>113</v>
      </c>
      <c r="C9" s="17">
        <v>85.13</v>
      </c>
      <c r="D9" s="4" t="s">
        <v>12</v>
      </c>
      <c r="E9" s="4" t="s">
        <v>101</v>
      </c>
      <c r="G9" s="26" t="s">
        <v>21</v>
      </c>
      <c r="H9" s="27">
        <v>1060.8533333333332</v>
      </c>
      <c r="I9"/>
    </row>
    <row r="10" spans="1:9" x14ac:dyDescent="0.25">
      <c r="A10" s="5">
        <v>45390</v>
      </c>
      <c r="B10" s="4" t="s">
        <v>114</v>
      </c>
      <c r="C10" s="17">
        <v>4.37</v>
      </c>
      <c r="D10" s="4" t="s">
        <v>54</v>
      </c>
      <c r="E10" s="4" t="s">
        <v>101</v>
      </c>
      <c r="G10"/>
      <c r="H10"/>
      <c r="I10"/>
    </row>
    <row r="11" spans="1:9" x14ac:dyDescent="0.25">
      <c r="A11" s="5">
        <v>45391</v>
      </c>
      <c r="B11" s="4" t="s">
        <v>115</v>
      </c>
      <c r="C11" s="17">
        <v>12.09</v>
      </c>
      <c r="D11" s="4" t="s">
        <v>15</v>
      </c>
      <c r="E11" s="4" t="s">
        <v>101</v>
      </c>
      <c r="G11"/>
      <c r="H11"/>
      <c r="I11"/>
    </row>
    <row r="12" spans="1:9" x14ac:dyDescent="0.25">
      <c r="A12" s="5">
        <v>45391</v>
      </c>
      <c r="B12" s="4" t="s">
        <v>116</v>
      </c>
      <c r="C12" s="17">
        <v>5.0599999999999996</v>
      </c>
      <c r="D12" s="4" t="s">
        <v>12</v>
      </c>
      <c r="E12" s="4" t="s">
        <v>101</v>
      </c>
      <c r="G12"/>
      <c r="H12"/>
      <c r="I12"/>
    </row>
    <row r="13" spans="1:9" x14ac:dyDescent="0.25">
      <c r="A13" s="5">
        <v>45392</v>
      </c>
      <c r="B13" s="4" t="s">
        <v>117</v>
      </c>
      <c r="C13" s="17">
        <v>3.23</v>
      </c>
      <c r="D13" s="4" t="s">
        <v>15</v>
      </c>
      <c r="E13" s="4" t="s">
        <v>101</v>
      </c>
      <c r="G13"/>
      <c r="H13"/>
      <c r="I13"/>
    </row>
    <row r="14" spans="1:9" x14ac:dyDescent="0.25">
      <c r="A14" s="5">
        <v>45392</v>
      </c>
      <c r="B14" s="4" t="s">
        <v>118</v>
      </c>
      <c r="C14" s="17">
        <v>12.58</v>
      </c>
      <c r="D14" s="4" t="s">
        <v>15</v>
      </c>
      <c r="E14" s="4" t="s">
        <v>101</v>
      </c>
      <c r="G14"/>
      <c r="H14"/>
      <c r="I14"/>
    </row>
    <row r="15" spans="1:9" x14ac:dyDescent="0.25">
      <c r="A15" s="5">
        <v>45392</v>
      </c>
      <c r="B15" s="4" t="s">
        <v>116</v>
      </c>
      <c r="C15" s="17">
        <v>4.3899999999999997</v>
      </c>
      <c r="D15" s="4" t="s">
        <v>12</v>
      </c>
      <c r="E15" s="4" t="s">
        <v>101</v>
      </c>
      <c r="G15"/>
      <c r="H15"/>
      <c r="I15"/>
    </row>
    <row r="16" spans="1:9" x14ac:dyDescent="0.25">
      <c r="A16" s="5">
        <v>45394</v>
      </c>
      <c r="B16" s="4" t="s">
        <v>120</v>
      </c>
      <c r="C16" s="17">
        <v>2.99</v>
      </c>
      <c r="D16" s="4" t="s">
        <v>23</v>
      </c>
      <c r="E16" s="4" t="s">
        <v>101</v>
      </c>
      <c r="G16"/>
      <c r="H16"/>
      <c r="I16"/>
    </row>
    <row r="17" spans="1:9" x14ac:dyDescent="0.25">
      <c r="A17" s="5">
        <v>45394</v>
      </c>
      <c r="B17" s="4" t="s">
        <v>119</v>
      </c>
      <c r="C17" s="17">
        <v>10.77</v>
      </c>
      <c r="D17" s="4" t="s">
        <v>12</v>
      </c>
      <c r="E17" s="4" t="s">
        <v>101</v>
      </c>
      <c r="G17"/>
      <c r="H17"/>
      <c r="I17"/>
    </row>
    <row r="18" spans="1:9" x14ac:dyDescent="0.25">
      <c r="A18" s="5">
        <v>45394</v>
      </c>
      <c r="B18" s="4" t="s">
        <v>121</v>
      </c>
      <c r="C18" s="17">
        <v>12.29</v>
      </c>
      <c r="D18" s="4" t="s">
        <v>15</v>
      </c>
      <c r="E18" s="4" t="s">
        <v>101</v>
      </c>
      <c r="G18"/>
      <c r="H18"/>
      <c r="I18"/>
    </row>
    <row r="19" spans="1:9" x14ac:dyDescent="0.25">
      <c r="A19" s="5">
        <v>45395</v>
      </c>
      <c r="B19" s="4" t="s">
        <v>31</v>
      </c>
      <c r="C19" s="17">
        <v>5</v>
      </c>
      <c r="D19" s="4" t="s">
        <v>12</v>
      </c>
      <c r="E19" s="4" t="s">
        <v>101</v>
      </c>
      <c r="G19"/>
      <c r="H19"/>
      <c r="I19"/>
    </row>
    <row r="20" spans="1:9" x14ac:dyDescent="0.25">
      <c r="A20" s="5">
        <v>45395</v>
      </c>
      <c r="B20" s="4" t="s">
        <v>31</v>
      </c>
      <c r="C20" s="17">
        <v>5</v>
      </c>
      <c r="D20" s="4" t="s">
        <v>12</v>
      </c>
      <c r="E20" s="4" t="s">
        <v>101</v>
      </c>
    </row>
    <row r="21" spans="1:9" x14ac:dyDescent="0.25">
      <c r="A21" s="5">
        <v>45395</v>
      </c>
      <c r="B21" s="4" t="s">
        <v>31</v>
      </c>
      <c r="C21" s="17">
        <v>1.99</v>
      </c>
      <c r="D21" s="4" t="s">
        <v>12</v>
      </c>
      <c r="E21" s="4" t="s">
        <v>101</v>
      </c>
    </row>
    <row r="22" spans="1:9" x14ac:dyDescent="0.25">
      <c r="A22" s="5">
        <v>45395</v>
      </c>
      <c r="B22" s="4" t="s">
        <v>121</v>
      </c>
      <c r="C22" s="17">
        <v>2</v>
      </c>
      <c r="D22" s="4" t="s">
        <v>15</v>
      </c>
      <c r="E22" s="4" t="s">
        <v>101</v>
      </c>
    </row>
    <row r="23" spans="1:9" x14ac:dyDescent="0.25">
      <c r="A23" s="5">
        <v>45395</v>
      </c>
      <c r="B23" s="4" t="s">
        <v>102</v>
      </c>
      <c r="C23" s="17">
        <v>35.950000000000003</v>
      </c>
      <c r="D23" s="4" t="s">
        <v>12</v>
      </c>
      <c r="E23" s="4" t="s">
        <v>101</v>
      </c>
    </row>
    <row r="24" spans="1:9" x14ac:dyDescent="0.25">
      <c r="A24" s="5">
        <v>45395</v>
      </c>
      <c r="B24" s="4" t="s">
        <v>103</v>
      </c>
      <c r="C24" s="17">
        <v>15.52</v>
      </c>
      <c r="D24" s="4" t="s">
        <v>12</v>
      </c>
      <c r="E24" s="4" t="s">
        <v>101</v>
      </c>
    </row>
    <row r="25" spans="1:9" x14ac:dyDescent="0.25">
      <c r="A25" s="5">
        <v>45395</v>
      </c>
      <c r="B25" s="4" t="s">
        <v>118</v>
      </c>
      <c r="C25" s="17">
        <v>12.38</v>
      </c>
      <c r="D25" s="4" t="s">
        <v>15</v>
      </c>
      <c r="E25" s="4" t="s">
        <v>101</v>
      </c>
    </row>
    <row r="26" spans="1:9" x14ac:dyDescent="0.25">
      <c r="A26" s="5">
        <v>45396</v>
      </c>
      <c r="B26" s="4" t="s">
        <v>122</v>
      </c>
      <c r="C26" s="17">
        <v>12.99</v>
      </c>
      <c r="D26" s="4" t="s">
        <v>23</v>
      </c>
      <c r="E26" s="4" t="s">
        <v>101</v>
      </c>
    </row>
    <row r="27" spans="1:9" x14ac:dyDescent="0.25">
      <c r="A27" s="5">
        <v>45397</v>
      </c>
      <c r="B27" s="4" t="s">
        <v>31</v>
      </c>
      <c r="C27" s="17">
        <v>5</v>
      </c>
      <c r="D27" s="4" t="s">
        <v>12</v>
      </c>
      <c r="E27" s="4" t="s">
        <v>101</v>
      </c>
    </row>
    <row r="28" spans="1:9" x14ac:dyDescent="0.25">
      <c r="A28" s="5">
        <v>45397</v>
      </c>
      <c r="B28" s="4" t="s">
        <v>123</v>
      </c>
      <c r="C28" s="17">
        <v>60.24</v>
      </c>
      <c r="D28" s="4" t="s">
        <v>12</v>
      </c>
      <c r="E28" s="4" t="s">
        <v>101</v>
      </c>
    </row>
    <row r="29" spans="1:9" x14ac:dyDescent="0.25">
      <c r="A29" s="5">
        <v>45401</v>
      </c>
      <c r="B29" s="4" t="s">
        <v>62</v>
      </c>
      <c r="C29" s="17">
        <v>2.99</v>
      </c>
      <c r="D29" s="4" t="s">
        <v>12</v>
      </c>
      <c r="E29" s="4" t="s">
        <v>101</v>
      </c>
    </row>
    <row r="30" spans="1:9" x14ac:dyDescent="0.25">
      <c r="A30" s="5">
        <v>45403</v>
      </c>
      <c r="B30" s="4" t="s">
        <v>124</v>
      </c>
      <c r="C30" s="17">
        <f>348.27/3</f>
        <v>116.08999999999999</v>
      </c>
      <c r="D30" s="4" t="s">
        <v>10</v>
      </c>
      <c r="E30" s="4" t="s">
        <v>101</v>
      </c>
    </row>
    <row r="31" spans="1:9" x14ac:dyDescent="0.25">
      <c r="A31" s="5">
        <v>45403</v>
      </c>
      <c r="B31" s="4" t="s">
        <v>69</v>
      </c>
      <c r="C31" s="17">
        <f>307.3/3</f>
        <v>102.43333333333334</v>
      </c>
      <c r="D31" s="4" t="s">
        <v>10</v>
      </c>
      <c r="E31" s="4" t="s">
        <v>101</v>
      </c>
    </row>
    <row r="32" spans="1:9" x14ac:dyDescent="0.25">
      <c r="A32" s="5">
        <v>45404</v>
      </c>
      <c r="B32" s="4" t="s">
        <v>125</v>
      </c>
      <c r="C32" s="17">
        <v>72.02</v>
      </c>
      <c r="D32" s="4" t="s">
        <v>12</v>
      </c>
      <c r="E32" s="4" t="s">
        <v>101</v>
      </c>
    </row>
    <row r="33" spans="1:5" x14ac:dyDescent="0.25">
      <c r="A33" s="5">
        <v>45405</v>
      </c>
      <c r="B33" s="4" t="s">
        <v>126</v>
      </c>
      <c r="C33" s="17">
        <f>167.59/3</f>
        <v>55.863333333333337</v>
      </c>
      <c r="D33" s="4" t="s">
        <v>10</v>
      </c>
      <c r="E33" s="4" t="s">
        <v>101</v>
      </c>
    </row>
    <row r="34" spans="1:5" x14ac:dyDescent="0.25">
      <c r="A34" s="5">
        <v>45406</v>
      </c>
      <c r="B34" s="4" t="s">
        <v>127</v>
      </c>
      <c r="C34" s="17">
        <v>50.6</v>
      </c>
      <c r="D34" s="4" t="s">
        <v>10</v>
      </c>
      <c r="E34" s="4" t="s">
        <v>101</v>
      </c>
    </row>
    <row r="35" spans="1:5" x14ac:dyDescent="0.25">
      <c r="A35" s="5">
        <v>45407</v>
      </c>
      <c r="B35" s="4" t="s">
        <v>126</v>
      </c>
      <c r="C35" s="17">
        <f>348.31/3</f>
        <v>116.10333333333334</v>
      </c>
      <c r="D35" s="4" t="s">
        <v>10</v>
      </c>
      <c r="E35" s="4" t="s">
        <v>101</v>
      </c>
    </row>
    <row r="36" spans="1:5" x14ac:dyDescent="0.25">
      <c r="A36" s="5">
        <v>45410</v>
      </c>
      <c r="B36" s="4" t="s">
        <v>128</v>
      </c>
      <c r="C36" s="17">
        <f>53.35/3</f>
        <v>17.783333333333335</v>
      </c>
      <c r="D36" s="4" t="s">
        <v>10</v>
      </c>
      <c r="E36" s="4" t="s">
        <v>101</v>
      </c>
    </row>
    <row r="37" spans="1:5" x14ac:dyDescent="0.25">
      <c r="A37" s="5">
        <v>45410</v>
      </c>
      <c r="B37" s="4" t="s">
        <v>41</v>
      </c>
      <c r="C37" s="17">
        <v>4.79</v>
      </c>
      <c r="D37" s="4" t="s">
        <v>104</v>
      </c>
      <c r="E37" s="4" t="s">
        <v>101</v>
      </c>
    </row>
    <row r="39" spans="1:5" x14ac:dyDescent="0.25">
      <c r="B39" s="4" t="s">
        <v>20</v>
      </c>
      <c r="C39" s="24">
        <f>SUM(Table5[Amount])</f>
        <v>1060.8533333333332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6DB3-3F6C-CA4F-B62D-2324131D0C8C}">
  <dimension ref="A1:H22"/>
  <sheetViews>
    <sheetView workbookViewId="0">
      <selection sqref="A1:E1"/>
    </sheetView>
  </sheetViews>
  <sheetFormatPr baseColWidth="10" defaultRowHeight="16" x14ac:dyDescent="0.2"/>
  <cols>
    <col min="1" max="1" width="9.83203125" bestFit="1" customWidth="1"/>
    <col min="2" max="2" width="51.1640625" bestFit="1" customWidth="1"/>
    <col min="3" max="3" width="11.83203125" customWidth="1"/>
    <col min="4" max="4" width="22.5" bestFit="1" customWidth="1"/>
    <col min="5" max="5" width="20.83203125" customWidth="1"/>
    <col min="7" max="7" width="15.6640625" bestFit="1" customWidth="1"/>
    <col min="8" max="8" width="10.5" bestFit="1" customWidth="1"/>
  </cols>
  <sheetData>
    <row r="1" spans="1:8" ht="20" x14ac:dyDescent="0.25">
      <c r="A1" s="1" t="s">
        <v>2</v>
      </c>
      <c r="B1" s="2" t="s">
        <v>3</v>
      </c>
      <c r="C1" s="2" t="s">
        <v>4</v>
      </c>
      <c r="D1" s="2" t="s">
        <v>5</v>
      </c>
      <c r="E1" s="3" t="s">
        <v>6</v>
      </c>
    </row>
    <row r="2" spans="1:8" ht="20" x14ac:dyDescent="0.25">
      <c r="A2" s="5">
        <v>45413</v>
      </c>
      <c r="B2" s="4" t="s">
        <v>98</v>
      </c>
      <c r="C2" s="4">
        <v>250.15</v>
      </c>
      <c r="D2" s="4" t="s">
        <v>12</v>
      </c>
      <c r="E2" s="4"/>
      <c r="G2" s="28" t="s">
        <v>5</v>
      </c>
      <c r="H2" s="28" t="s">
        <v>94</v>
      </c>
    </row>
    <row r="3" spans="1:8" ht="20" x14ac:dyDescent="0.25">
      <c r="A3" s="5">
        <v>45413</v>
      </c>
      <c r="B3" s="4" t="s">
        <v>99</v>
      </c>
      <c r="C3" s="4">
        <v>206.88</v>
      </c>
      <c r="D3" s="4" t="s">
        <v>12</v>
      </c>
      <c r="E3" s="4"/>
      <c r="G3" s="6" t="s">
        <v>23</v>
      </c>
      <c r="H3" s="29">
        <v>46.42</v>
      </c>
    </row>
    <row r="4" spans="1:8" ht="20" x14ac:dyDescent="0.25">
      <c r="A4" s="5">
        <v>45413</v>
      </c>
      <c r="B4" s="4" t="s">
        <v>100</v>
      </c>
      <c r="C4" s="4">
        <v>339.1</v>
      </c>
      <c r="D4" s="4" t="s">
        <v>12</v>
      </c>
      <c r="E4" s="4"/>
      <c r="G4" s="6" t="s">
        <v>10</v>
      </c>
      <c r="H4" s="29">
        <v>2.8</v>
      </c>
    </row>
    <row r="5" spans="1:8" ht="20" x14ac:dyDescent="0.25">
      <c r="A5" s="5">
        <v>45414</v>
      </c>
      <c r="B5" s="4" t="s">
        <v>136</v>
      </c>
      <c r="C5" s="4">
        <v>14.99</v>
      </c>
      <c r="D5" s="4" t="s">
        <v>23</v>
      </c>
      <c r="E5" s="4"/>
      <c r="G5" s="6" t="s">
        <v>12</v>
      </c>
      <c r="H5" s="29">
        <v>1454.37</v>
      </c>
    </row>
    <row r="6" spans="1:8" ht="20" x14ac:dyDescent="0.25">
      <c r="A6" s="5">
        <v>45414</v>
      </c>
      <c r="B6" s="4" t="s">
        <v>97</v>
      </c>
      <c r="C6" s="4">
        <v>21.54</v>
      </c>
      <c r="D6" s="4" t="s">
        <v>12</v>
      </c>
      <c r="E6" s="4"/>
      <c r="G6" s="6" t="s">
        <v>15</v>
      </c>
      <c r="H6" s="29">
        <v>61.93</v>
      </c>
    </row>
    <row r="7" spans="1:8" ht="20" x14ac:dyDescent="0.25">
      <c r="A7" s="5">
        <v>45416</v>
      </c>
      <c r="B7" s="4" t="s">
        <v>96</v>
      </c>
      <c r="C7" s="4">
        <v>222.76</v>
      </c>
      <c r="D7" s="4" t="s">
        <v>12</v>
      </c>
      <c r="E7" s="4"/>
      <c r="G7" s="30" t="s">
        <v>21</v>
      </c>
      <c r="H7" s="28">
        <v>1565.52</v>
      </c>
    </row>
    <row r="8" spans="1:8" ht="20" x14ac:dyDescent="0.25">
      <c r="A8" s="5">
        <v>45419</v>
      </c>
      <c r="B8" s="4" t="s">
        <v>130</v>
      </c>
      <c r="C8" s="4">
        <v>10.76</v>
      </c>
      <c r="D8" s="4" t="s">
        <v>12</v>
      </c>
      <c r="E8" s="4"/>
    </row>
    <row r="9" spans="1:8" ht="20" x14ac:dyDescent="0.25">
      <c r="A9" s="5">
        <v>45419</v>
      </c>
      <c r="B9" s="4" t="s">
        <v>39</v>
      </c>
      <c r="C9" s="4">
        <v>2.8</v>
      </c>
      <c r="D9" s="4" t="s">
        <v>10</v>
      </c>
      <c r="E9" s="4"/>
    </row>
    <row r="10" spans="1:8" ht="20" x14ac:dyDescent="0.25">
      <c r="A10" s="5">
        <v>45419</v>
      </c>
      <c r="B10" s="4" t="s">
        <v>131</v>
      </c>
      <c r="C10" s="4">
        <v>13.45</v>
      </c>
      <c r="D10" s="4" t="s">
        <v>23</v>
      </c>
      <c r="E10" s="4"/>
    </row>
    <row r="11" spans="1:8" ht="20" x14ac:dyDescent="0.25">
      <c r="A11" s="5">
        <v>45421</v>
      </c>
      <c r="B11" s="4" t="s">
        <v>96</v>
      </c>
      <c r="C11" s="4">
        <v>27.38</v>
      </c>
      <c r="D11" s="4" t="s">
        <v>12</v>
      </c>
      <c r="E11" s="4"/>
    </row>
    <row r="12" spans="1:8" ht="20" x14ac:dyDescent="0.25">
      <c r="A12" s="5">
        <v>45425</v>
      </c>
      <c r="B12" s="4" t="s">
        <v>19</v>
      </c>
      <c r="C12" s="4">
        <v>-2.99</v>
      </c>
      <c r="D12" s="4" t="s">
        <v>12</v>
      </c>
      <c r="E12" s="4"/>
    </row>
    <row r="13" spans="1:8" ht="20" x14ac:dyDescent="0.25">
      <c r="A13" s="5">
        <v>45426</v>
      </c>
      <c r="B13" s="4" t="s">
        <v>132</v>
      </c>
      <c r="C13" s="4">
        <v>12.99</v>
      </c>
      <c r="D13" s="4" t="s">
        <v>12</v>
      </c>
      <c r="E13" s="4"/>
    </row>
    <row r="14" spans="1:8" ht="20" x14ac:dyDescent="0.25">
      <c r="A14" s="5">
        <v>45426</v>
      </c>
      <c r="B14" s="4" t="s">
        <v>133</v>
      </c>
      <c r="C14" s="4">
        <v>14.99</v>
      </c>
      <c r="D14" s="4" t="s">
        <v>12</v>
      </c>
      <c r="E14" s="4"/>
    </row>
    <row r="15" spans="1:8" ht="20" x14ac:dyDescent="0.25">
      <c r="A15" s="5">
        <v>45432</v>
      </c>
      <c r="B15" s="4" t="s">
        <v>109</v>
      </c>
      <c r="C15" s="4">
        <v>165.07</v>
      </c>
      <c r="D15" s="4" t="s">
        <v>12</v>
      </c>
      <c r="E15" s="4"/>
    </row>
    <row r="16" spans="1:8" ht="20" x14ac:dyDescent="0.25">
      <c r="A16" s="5">
        <v>45432</v>
      </c>
      <c r="B16" s="4" t="s">
        <v>9</v>
      </c>
      <c r="C16" s="4">
        <v>2.99</v>
      </c>
      <c r="D16" s="4" t="s">
        <v>23</v>
      </c>
      <c r="E16" s="4"/>
    </row>
    <row r="17" spans="1:5" ht="20" x14ac:dyDescent="0.25">
      <c r="A17" s="5">
        <v>45432</v>
      </c>
      <c r="B17" s="4" t="s">
        <v>134</v>
      </c>
      <c r="C17" s="4">
        <v>61.93</v>
      </c>
      <c r="D17" s="4" t="s">
        <v>15</v>
      </c>
      <c r="E17" s="4"/>
    </row>
    <row r="18" spans="1:5" ht="20" x14ac:dyDescent="0.25">
      <c r="A18" s="5">
        <v>45443</v>
      </c>
      <c r="B18" s="4"/>
      <c r="C18" s="4"/>
      <c r="D18" s="4"/>
      <c r="E18" s="4"/>
    </row>
    <row r="19" spans="1:5" ht="20" x14ac:dyDescent="0.25">
      <c r="A19" s="5">
        <v>45446</v>
      </c>
      <c r="B19" s="4" t="s">
        <v>135</v>
      </c>
      <c r="C19" s="4">
        <v>14.99</v>
      </c>
      <c r="D19" s="4" t="s">
        <v>23</v>
      </c>
      <c r="E19" s="4"/>
    </row>
    <row r="20" spans="1:5" ht="20" x14ac:dyDescent="0.25">
      <c r="A20" s="5">
        <v>45447</v>
      </c>
      <c r="B20" s="4" t="s">
        <v>129</v>
      </c>
      <c r="C20" s="4">
        <v>185.74</v>
      </c>
      <c r="D20" s="4" t="s">
        <v>12</v>
      </c>
      <c r="E20" s="4"/>
    </row>
    <row r="22" spans="1:5" ht="20" x14ac:dyDescent="0.25">
      <c r="B22" s="4" t="s">
        <v>20</v>
      </c>
      <c r="C22" s="4">
        <f>SUM(Table6[Amount])</f>
        <v>1565.5200000000002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A2E7-8C91-B949-B4F0-16AFCDF05976}">
  <dimension ref="A1:I61"/>
  <sheetViews>
    <sheetView workbookViewId="0">
      <selection activeCell="B4" sqref="B4"/>
    </sheetView>
  </sheetViews>
  <sheetFormatPr baseColWidth="10" defaultRowHeight="16" x14ac:dyDescent="0.2"/>
  <cols>
    <col min="2" max="2" width="30.33203125" bestFit="1" customWidth="1"/>
    <col min="3" max="3" width="11.83203125" hidden="1" customWidth="1"/>
    <col min="4" max="4" width="13.5" bestFit="1" customWidth="1"/>
    <col min="5" max="5" width="22.6640625" bestFit="1" customWidth="1"/>
    <col min="6" max="6" width="52.83203125" bestFit="1" customWidth="1"/>
    <col min="8" max="8" width="15.6640625" bestFit="1" customWidth="1"/>
    <col min="9" max="9" width="13.5" bestFit="1" customWidth="1"/>
  </cols>
  <sheetData>
    <row r="1" spans="1:9" ht="20" x14ac:dyDescent="0.25">
      <c r="A1" s="1" t="s">
        <v>2</v>
      </c>
      <c r="B1" s="2" t="s">
        <v>3</v>
      </c>
      <c r="C1" s="2" t="s">
        <v>4</v>
      </c>
      <c r="D1" s="2" t="s">
        <v>171</v>
      </c>
      <c r="E1" s="2" t="s">
        <v>5</v>
      </c>
      <c r="F1" s="3" t="s">
        <v>170</v>
      </c>
      <c r="H1" s="34" t="s">
        <v>5</v>
      </c>
      <c r="I1" s="34" t="s">
        <v>94</v>
      </c>
    </row>
    <row r="2" spans="1:9" ht="20" x14ac:dyDescent="0.25">
      <c r="A2" s="5">
        <v>45444</v>
      </c>
      <c r="B2" s="4" t="s">
        <v>169</v>
      </c>
      <c r="C2" s="17">
        <v>-14.99</v>
      </c>
      <c r="D2" s="17">
        <f>ABS(Table7[[#This Row],[Amount]])</f>
        <v>14.99</v>
      </c>
      <c r="E2" s="4" t="s">
        <v>23</v>
      </c>
      <c r="F2" s="4" t="s">
        <v>146</v>
      </c>
      <c r="H2" s="6" t="s">
        <v>23</v>
      </c>
      <c r="I2" s="8">
        <v>25.46</v>
      </c>
    </row>
    <row r="3" spans="1:9" ht="20" x14ac:dyDescent="0.25">
      <c r="A3" s="5">
        <v>45444</v>
      </c>
      <c r="B3" s="4" t="s">
        <v>172</v>
      </c>
      <c r="C3" s="17">
        <v>-95</v>
      </c>
      <c r="D3" s="17">
        <f>ABS(Table7[[#This Row],[Amount]])</f>
        <v>95</v>
      </c>
      <c r="E3" s="4" t="s">
        <v>12</v>
      </c>
      <c r="F3" s="4" t="s">
        <v>150</v>
      </c>
      <c r="H3" s="6" t="s">
        <v>140</v>
      </c>
      <c r="I3" s="8">
        <v>20.28</v>
      </c>
    </row>
    <row r="4" spans="1:9" ht="20" x14ac:dyDescent="0.25">
      <c r="A4" s="5">
        <v>45446</v>
      </c>
      <c r="B4" s="20" t="s">
        <v>168</v>
      </c>
      <c r="C4" s="17">
        <v>-185.74</v>
      </c>
      <c r="D4" s="17">
        <f>ABS(Table7[[#This Row],[Amount]])</f>
        <v>185.74</v>
      </c>
      <c r="E4" s="4" t="s">
        <v>92</v>
      </c>
      <c r="F4" s="4" t="s">
        <v>146</v>
      </c>
      <c r="H4" s="6" t="s">
        <v>10</v>
      </c>
      <c r="I4" s="8">
        <v>901.95249999999987</v>
      </c>
    </row>
    <row r="5" spans="1:9" ht="20" x14ac:dyDescent="0.25">
      <c r="A5" s="5">
        <v>45448</v>
      </c>
      <c r="B5" s="4" t="s">
        <v>166</v>
      </c>
      <c r="C5" s="17">
        <v>-171.31</v>
      </c>
      <c r="D5" s="17">
        <f>ABS(Table7[[#This Row],[Amount]])</f>
        <v>171.31</v>
      </c>
      <c r="E5" s="4" t="s">
        <v>10</v>
      </c>
      <c r="F5" s="4" t="s">
        <v>149</v>
      </c>
      <c r="H5" s="6" t="s">
        <v>12</v>
      </c>
      <c r="I5" s="8">
        <v>173.41499999999999</v>
      </c>
    </row>
    <row r="6" spans="1:9" ht="20" x14ac:dyDescent="0.25">
      <c r="A6" s="5">
        <v>45448</v>
      </c>
      <c r="B6" s="4" t="s">
        <v>167</v>
      </c>
      <c r="C6" s="17">
        <v>-28.79</v>
      </c>
      <c r="D6" s="17">
        <f>ABS(Table7[[#This Row],[Amount]])/3</f>
        <v>9.5966666666666658</v>
      </c>
      <c r="E6" s="4" t="s">
        <v>15</v>
      </c>
      <c r="F6" s="4" t="s">
        <v>137</v>
      </c>
      <c r="H6" s="6" t="s">
        <v>92</v>
      </c>
      <c r="I6" s="8">
        <v>185.74</v>
      </c>
    </row>
    <row r="7" spans="1:9" ht="21" thickBot="1" x14ac:dyDescent="0.3">
      <c r="A7" s="5">
        <v>45449</v>
      </c>
      <c r="B7" s="4" t="s">
        <v>165</v>
      </c>
      <c r="C7" s="17">
        <v>-10.63</v>
      </c>
      <c r="D7" s="17">
        <f>ABS(Table7[[#This Row],[Amount]])/3</f>
        <v>3.5433333333333334</v>
      </c>
      <c r="E7" s="4" t="s">
        <v>15</v>
      </c>
      <c r="F7" s="4" t="s">
        <v>137</v>
      </c>
      <c r="H7" s="6" t="s">
        <v>15</v>
      </c>
      <c r="I7" s="8">
        <v>178.50450000000001</v>
      </c>
    </row>
    <row r="8" spans="1:9" ht="21" thickBot="1" x14ac:dyDescent="0.3">
      <c r="A8" s="5">
        <v>45450</v>
      </c>
      <c r="B8" s="4" t="s">
        <v>173</v>
      </c>
      <c r="C8" s="17">
        <v>-174.78</v>
      </c>
      <c r="D8" s="17">
        <f>ABS(Table7[[#This Row],[Amount]])+47.58</f>
        <v>222.36</v>
      </c>
      <c r="E8" s="4" t="s">
        <v>10</v>
      </c>
      <c r="F8" s="4" t="s">
        <v>137</v>
      </c>
      <c r="H8" s="33" t="s">
        <v>21</v>
      </c>
      <c r="I8" s="35">
        <v>1485.3519999999999</v>
      </c>
    </row>
    <row r="9" spans="1:9" ht="20" x14ac:dyDescent="0.25">
      <c r="A9" s="5">
        <v>45453</v>
      </c>
      <c r="B9" s="4" t="s">
        <v>147</v>
      </c>
      <c r="C9" s="17">
        <v>-1.42</v>
      </c>
      <c r="D9" s="17">
        <f>ABS(Table7[[#This Row],[Amount]])+1.86</f>
        <v>3.2800000000000002</v>
      </c>
      <c r="E9" s="4" t="s">
        <v>12</v>
      </c>
      <c r="F9" s="4" t="s">
        <v>146</v>
      </c>
    </row>
    <row r="10" spans="1:9" ht="21" thickBot="1" x14ac:dyDescent="0.3">
      <c r="A10" s="5">
        <v>45454</v>
      </c>
      <c r="B10" s="4" t="s">
        <v>174</v>
      </c>
      <c r="C10" s="17">
        <v>-2.99</v>
      </c>
      <c r="D10" s="17">
        <f>ABS(Table7[[#This Row],[Amount]])</f>
        <v>2.99</v>
      </c>
      <c r="E10" s="4" t="s">
        <v>12</v>
      </c>
      <c r="F10" s="4" t="s">
        <v>146</v>
      </c>
    </row>
    <row r="11" spans="1:9" ht="21" thickBot="1" x14ac:dyDescent="0.3">
      <c r="A11" s="5">
        <v>45454</v>
      </c>
      <c r="B11" s="4" t="s">
        <v>39</v>
      </c>
      <c r="C11" s="17">
        <v>-5.67</v>
      </c>
      <c r="D11" s="17">
        <f>ABS(Table7[[#This Row],[Amount]])</f>
        <v>5.67</v>
      </c>
      <c r="E11" s="4" t="s">
        <v>10</v>
      </c>
      <c r="F11" s="4" t="s">
        <v>150</v>
      </c>
    </row>
    <row r="12" spans="1:9" ht="20" x14ac:dyDescent="0.25">
      <c r="A12" s="5">
        <v>45455</v>
      </c>
      <c r="B12" s="4" t="s">
        <v>39</v>
      </c>
      <c r="C12" s="17">
        <v>-31.64</v>
      </c>
      <c r="D12" s="17">
        <f>ABS(Table7[[#This Row],[Amount]])</f>
        <v>31.64</v>
      </c>
      <c r="E12" s="4" t="s">
        <v>10</v>
      </c>
      <c r="F12" s="4" t="s">
        <v>150</v>
      </c>
    </row>
    <row r="13" spans="1:9" ht="20" x14ac:dyDescent="0.25">
      <c r="A13" s="5">
        <v>45455</v>
      </c>
      <c r="B13" s="4" t="s">
        <v>164</v>
      </c>
      <c r="C13" s="17">
        <v>-687.21</v>
      </c>
      <c r="D13" s="17">
        <f>ABS(Table7[[#This Row],[Amount]])/4</f>
        <v>171.80250000000001</v>
      </c>
      <c r="E13" s="4" t="s">
        <v>10</v>
      </c>
      <c r="F13" s="4" t="s">
        <v>146</v>
      </c>
    </row>
    <row r="14" spans="1:9" ht="20" x14ac:dyDescent="0.25">
      <c r="A14" s="5">
        <v>45456</v>
      </c>
      <c r="B14" s="4" t="s">
        <v>39</v>
      </c>
      <c r="C14" s="17">
        <v>-22.54</v>
      </c>
      <c r="D14" s="17">
        <f>ABS(Table7[[#This Row],[Amount]])</f>
        <v>22.54</v>
      </c>
      <c r="E14" s="4" t="s">
        <v>10</v>
      </c>
      <c r="F14" s="4" t="s">
        <v>150</v>
      </c>
    </row>
    <row r="15" spans="1:9" ht="20" x14ac:dyDescent="0.25">
      <c r="A15" s="5">
        <v>45457</v>
      </c>
      <c r="B15" s="20" t="s">
        <v>163</v>
      </c>
      <c r="C15" s="17">
        <v>-12.99</v>
      </c>
      <c r="D15" s="17">
        <f>ABS(Table7[[#This Row],[Amount]])</f>
        <v>12.99</v>
      </c>
      <c r="E15" s="4" t="s">
        <v>12</v>
      </c>
      <c r="F15" s="4" t="s">
        <v>150</v>
      </c>
    </row>
    <row r="16" spans="1:9" ht="20" x14ac:dyDescent="0.25">
      <c r="A16" s="5">
        <v>45458</v>
      </c>
      <c r="B16" s="4" t="s">
        <v>39</v>
      </c>
      <c r="C16" s="17">
        <v>-3.67</v>
      </c>
      <c r="D16" s="17">
        <f>ABS(Table7[[#This Row],[Amount]])</f>
        <v>3.67</v>
      </c>
      <c r="E16" s="4" t="s">
        <v>10</v>
      </c>
      <c r="F16" s="4" t="s">
        <v>150</v>
      </c>
    </row>
    <row r="17" spans="1:6" ht="20" x14ac:dyDescent="0.25">
      <c r="A17" s="5">
        <v>45458</v>
      </c>
      <c r="B17" s="4" t="s">
        <v>39</v>
      </c>
      <c r="C17" s="17">
        <v>-2.59</v>
      </c>
      <c r="D17" s="17">
        <f>ABS(Table7[[#This Row],[Amount]])</f>
        <v>2.59</v>
      </c>
      <c r="E17" s="4" t="s">
        <v>10</v>
      </c>
      <c r="F17" s="4" t="s">
        <v>150</v>
      </c>
    </row>
    <row r="18" spans="1:6" ht="20" x14ac:dyDescent="0.25">
      <c r="A18" s="5">
        <v>45458</v>
      </c>
      <c r="B18" s="4" t="s">
        <v>162</v>
      </c>
      <c r="C18" s="17">
        <v>-51.91</v>
      </c>
      <c r="D18" s="17">
        <f>ABS(Table7[[#This Row],[Amount]])/5</f>
        <v>10.382</v>
      </c>
      <c r="E18" s="4" t="s">
        <v>15</v>
      </c>
      <c r="F18" s="4" t="s">
        <v>137</v>
      </c>
    </row>
    <row r="19" spans="1:6" ht="20" x14ac:dyDescent="0.25">
      <c r="A19" s="5">
        <v>45459</v>
      </c>
      <c r="B19" s="4" t="s">
        <v>39</v>
      </c>
      <c r="C19" s="17">
        <v>-10.28</v>
      </c>
      <c r="D19" s="17">
        <f>ABS(Table7[[#This Row],[Amount]])</f>
        <v>10.28</v>
      </c>
      <c r="E19" s="4" t="s">
        <v>10</v>
      </c>
      <c r="F19" s="4" t="s">
        <v>150</v>
      </c>
    </row>
    <row r="20" spans="1:6" ht="20" x14ac:dyDescent="0.25">
      <c r="A20" s="5">
        <v>45460</v>
      </c>
      <c r="B20" s="4" t="s">
        <v>39</v>
      </c>
      <c r="C20" s="17">
        <v>-7.75</v>
      </c>
      <c r="D20" s="17">
        <f>ABS(Table7[[#This Row],[Amount]])</f>
        <v>7.75</v>
      </c>
      <c r="E20" s="4" t="s">
        <v>10</v>
      </c>
      <c r="F20" s="4" t="s">
        <v>150</v>
      </c>
    </row>
    <row r="21" spans="1:6" ht="20" x14ac:dyDescent="0.25">
      <c r="A21" s="5">
        <v>45460</v>
      </c>
      <c r="B21" s="4" t="s">
        <v>39</v>
      </c>
      <c r="C21" s="17">
        <v>-5.0599999999999996</v>
      </c>
      <c r="D21" s="17">
        <f>ABS(Table7[[#This Row],[Amount]])</f>
        <v>5.0599999999999996</v>
      </c>
      <c r="E21" s="4" t="s">
        <v>10</v>
      </c>
      <c r="F21" s="4" t="s">
        <v>150</v>
      </c>
    </row>
    <row r="22" spans="1:6" ht="20" x14ac:dyDescent="0.25">
      <c r="A22" s="5">
        <v>45460</v>
      </c>
      <c r="B22" s="4" t="s">
        <v>159</v>
      </c>
      <c r="C22" s="17">
        <v>-81.430000000000007</v>
      </c>
      <c r="D22" s="17">
        <f>ABS(Table7[[#This Row],[Amount]])/2</f>
        <v>40.715000000000003</v>
      </c>
      <c r="E22" s="4" t="s">
        <v>12</v>
      </c>
      <c r="F22" s="4" t="s">
        <v>137</v>
      </c>
    </row>
    <row r="23" spans="1:6" ht="20" x14ac:dyDescent="0.25">
      <c r="A23" s="5">
        <v>45460</v>
      </c>
      <c r="B23" s="4" t="s">
        <v>160</v>
      </c>
      <c r="C23" s="17">
        <v>-23.42</v>
      </c>
      <c r="D23" s="17">
        <f>ABS(Table7[[#This Row],[Amount]])</f>
        <v>23.42</v>
      </c>
      <c r="E23" s="4" t="s">
        <v>15</v>
      </c>
      <c r="F23" s="4" t="s">
        <v>137</v>
      </c>
    </row>
    <row r="24" spans="1:6" ht="20" x14ac:dyDescent="0.25">
      <c r="A24" s="5">
        <v>45460</v>
      </c>
      <c r="B24" s="4" t="s">
        <v>161</v>
      </c>
      <c r="C24" s="17">
        <v>-30.9</v>
      </c>
      <c r="D24" s="17">
        <f>ABS(Table7[[#This Row],[Amount]])/2</f>
        <v>15.45</v>
      </c>
      <c r="E24" s="4" t="s">
        <v>12</v>
      </c>
      <c r="F24" s="4" t="s">
        <v>137</v>
      </c>
    </row>
    <row r="25" spans="1:6" ht="20" x14ac:dyDescent="0.25">
      <c r="A25" s="5">
        <v>45461</v>
      </c>
      <c r="B25" s="4" t="s">
        <v>158</v>
      </c>
      <c r="C25" s="17">
        <v>-20.94</v>
      </c>
      <c r="D25" s="17">
        <f>ABS(Table7[[#This Row],[Amount]])/2</f>
        <v>10.47</v>
      </c>
      <c r="E25" s="4" t="s">
        <v>23</v>
      </c>
      <c r="F25" s="4" t="s">
        <v>137</v>
      </c>
    </row>
    <row r="26" spans="1:6" ht="20" x14ac:dyDescent="0.25">
      <c r="A26" s="5">
        <v>45461</v>
      </c>
      <c r="B26" s="4" t="s">
        <v>151</v>
      </c>
      <c r="C26" s="17">
        <v>-2.17</v>
      </c>
      <c r="D26" s="17">
        <f>ABS(Table7[[#This Row],[Amount]])</f>
        <v>2.17</v>
      </c>
      <c r="E26" s="4" t="s">
        <v>10</v>
      </c>
      <c r="F26" s="4" t="s">
        <v>137</v>
      </c>
    </row>
    <row r="27" spans="1:6" ht="20" x14ac:dyDescent="0.25">
      <c r="A27" s="5">
        <v>45461</v>
      </c>
      <c r="B27" s="4" t="s">
        <v>151</v>
      </c>
      <c r="C27" s="17">
        <v>-3</v>
      </c>
      <c r="D27" s="17">
        <f>ABS(Table7[[#This Row],[Amount]])</f>
        <v>3</v>
      </c>
      <c r="E27" s="4" t="s">
        <v>10</v>
      </c>
      <c r="F27" s="4" t="s">
        <v>137</v>
      </c>
    </row>
    <row r="28" spans="1:6" ht="20" x14ac:dyDescent="0.25">
      <c r="A28" s="5">
        <v>45461</v>
      </c>
      <c r="B28" s="4" t="s">
        <v>151</v>
      </c>
      <c r="C28" s="17">
        <v>-3.61</v>
      </c>
      <c r="D28" s="17">
        <f>ABS(Table7[[#This Row],[Amount]])</f>
        <v>3.61</v>
      </c>
      <c r="E28" s="4" t="s">
        <v>10</v>
      </c>
      <c r="F28" s="4" t="s">
        <v>137</v>
      </c>
    </row>
    <row r="29" spans="1:6" ht="20" x14ac:dyDescent="0.25">
      <c r="A29" s="5">
        <v>45461</v>
      </c>
      <c r="B29" s="4" t="s">
        <v>145</v>
      </c>
      <c r="C29" s="17">
        <v>-34.83</v>
      </c>
      <c r="D29" s="17">
        <f>ABS(Table7[[#This Row],[Amount]])</f>
        <v>34.83</v>
      </c>
      <c r="E29" s="4" t="s">
        <v>10</v>
      </c>
      <c r="F29" s="4" t="s">
        <v>137</v>
      </c>
    </row>
    <row r="30" spans="1:6" ht="20" x14ac:dyDescent="0.25">
      <c r="A30" s="5">
        <v>45461</v>
      </c>
      <c r="B30" s="4" t="s">
        <v>151</v>
      </c>
      <c r="C30" s="17">
        <v>-3.92</v>
      </c>
      <c r="D30" s="17">
        <f>ABS(Table7[[#This Row],[Amount]])</f>
        <v>3.92</v>
      </c>
      <c r="E30" s="4" t="s">
        <v>10</v>
      </c>
      <c r="F30" s="4" t="s">
        <v>137</v>
      </c>
    </row>
    <row r="31" spans="1:6" ht="20" x14ac:dyDescent="0.25">
      <c r="A31" s="5">
        <v>45462</v>
      </c>
      <c r="B31" s="4" t="s">
        <v>175</v>
      </c>
      <c r="C31" s="17">
        <v>-2.99</v>
      </c>
      <c r="D31" s="17">
        <f>ABS(Table7[[#This Row],[Amount]])</f>
        <v>2.99</v>
      </c>
      <c r="E31" s="4" t="s">
        <v>12</v>
      </c>
      <c r="F31" s="4" t="s">
        <v>146</v>
      </c>
    </row>
    <row r="32" spans="1:6" ht="20" x14ac:dyDescent="0.25">
      <c r="A32" s="5">
        <v>45462</v>
      </c>
      <c r="B32" s="4" t="s">
        <v>156</v>
      </c>
      <c r="C32" s="17">
        <v>-2.1</v>
      </c>
      <c r="D32" s="17">
        <f>ABS(Table7[[#This Row],[Amount]])</f>
        <v>2.1</v>
      </c>
      <c r="E32" s="4" t="s">
        <v>15</v>
      </c>
      <c r="F32" s="4" t="s">
        <v>137</v>
      </c>
    </row>
    <row r="33" spans="1:6" ht="20" x14ac:dyDescent="0.25">
      <c r="A33" s="5">
        <v>45462</v>
      </c>
      <c r="B33" s="4" t="s">
        <v>82</v>
      </c>
      <c r="C33" s="17">
        <v>-10.27</v>
      </c>
      <c r="D33" s="17">
        <f>ABS(Table7[[#This Row],[Amount]])</f>
        <v>10.27</v>
      </c>
      <c r="E33" s="4" t="s">
        <v>15</v>
      </c>
      <c r="F33" s="4" t="s">
        <v>137</v>
      </c>
    </row>
    <row r="34" spans="1:6" ht="20" x14ac:dyDescent="0.25">
      <c r="A34" s="5">
        <v>45462</v>
      </c>
      <c r="B34" s="4" t="s">
        <v>157</v>
      </c>
      <c r="C34" s="17">
        <v>-5.36</v>
      </c>
      <c r="D34" s="17">
        <f>ABS(Table7[[#This Row],[Amount]])</f>
        <v>5.36</v>
      </c>
      <c r="E34" s="4" t="s">
        <v>15</v>
      </c>
      <c r="F34" s="4" t="s">
        <v>137</v>
      </c>
    </row>
    <row r="35" spans="1:6" ht="20" x14ac:dyDescent="0.25">
      <c r="A35" s="5">
        <v>45463</v>
      </c>
      <c r="B35" s="4" t="s">
        <v>39</v>
      </c>
      <c r="C35" s="17">
        <v>-17.809999999999999</v>
      </c>
      <c r="D35" s="17">
        <f>ABS(Table7[[#This Row],[Amount]])</f>
        <v>17.809999999999999</v>
      </c>
      <c r="E35" s="4" t="s">
        <v>10</v>
      </c>
      <c r="F35" s="4" t="s">
        <v>150</v>
      </c>
    </row>
    <row r="36" spans="1:6" ht="20" x14ac:dyDescent="0.25">
      <c r="A36" s="5">
        <v>45463</v>
      </c>
      <c r="B36" s="4" t="s">
        <v>145</v>
      </c>
      <c r="C36" s="17">
        <v>-7.14</v>
      </c>
      <c r="D36" s="17">
        <f>ABS(Table7[[#This Row],[Amount]])</f>
        <v>7.14</v>
      </c>
      <c r="E36" s="4" t="s">
        <v>10</v>
      </c>
      <c r="F36" s="4" t="s">
        <v>137</v>
      </c>
    </row>
    <row r="37" spans="1:6" ht="20" x14ac:dyDescent="0.25">
      <c r="A37" s="5">
        <v>45465</v>
      </c>
      <c r="B37" s="4" t="s">
        <v>39</v>
      </c>
      <c r="C37" s="17">
        <v>-17.690000000000001</v>
      </c>
      <c r="D37" s="17">
        <f>ABS(Table7[[#This Row],[Amount]])</f>
        <v>17.690000000000001</v>
      </c>
      <c r="E37" s="4" t="s">
        <v>10</v>
      </c>
      <c r="F37" s="4" t="s">
        <v>150</v>
      </c>
    </row>
    <row r="38" spans="1:6" ht="20" x14ac:dyDescent="0.25">
      <c r="A38" s="5">
        <v>45465</v>
      </c>
      <c r="B38" s="4" t="s">
        <v>151</v>
      </c>
      <c r="C38" s="17">
        <v>-5.34</v>
      </c>
      <c r="D38" s="17">
        <f>ABS(Table7[[#This Row],[Amount]])</f>
        <v>5.34</v>
      </c>
      <c r="E38" s="4" t="s">
        <v>10</v>
      </c>
      <c r="F38" s="4" t="s">
        <v>137</v>
      </c>
    </row>
    <row r="39" spans="1:6" ht="20" x14ac:dyDescent="0.25">
      <c r="A39" s="5">
        <v>45465</v>
      </c>
      <c r="B39" s="4" t="s">
        <v>152</v>
      </c>
      <c r="C39" s="17">
        <v>-18.97</v>
      </c>
      <c r="D39" s="17">
        <f>ABS(Table7[[#This Row],[Amount]])</f>
        <v>18.97</v>
      </c>
      <c r="E39" s="4" t="s">
        <v>15</v>
      </c>
      <c r="F39" s="4" t="s">
        <v>137</v>
      </c>
    </row>
    <row r="40" spans="1:6" ht="20" x14ac:dyDescent="0.25">
      <c r="A40" s="5">
        <v>45465</v>
      </c>
      <c r="B40" s="4" t="s">
        <v>153</v>
      </c>
      <c r="C40" s="17">
        <v>-5.73</v>
      </c>
      <c r="D40" s="17">
        <f>ABS(Table7[[#This Row],[Amount]])</f>
        <v>5.73</v>
      </c>
      <c r="E40" s="4" t="s">
        <v>15</v>
      </c>
      <c r="F40" s="4" t="s">
        <v>137</v>
      </c>
    </row>
    <row r="41" spans="1:6" ht="20" x14ac:dyDescent="0.25">
      <c r="A41" s="5">
        <v>45465</v>
      </c>
      <c r="B41" s="4" t="s">
        <v>154</v>
      </c>
      <c r="C41" s="17">
        <v>-10.02</v>
      </c>
      <c r="D41" s="17">
        <f>ABS(Table7[[#This Row],[Amount]])</f>
        <v>10.02</v>
      </c>
      <c r="E41" s="4" t="s">
        <v>15</v>
      </c>
      <c r="F41" s="4" t="s">
        <v>137</v>
      </c>
    </row>
    <row r="42" spans="1:6" ht="20" x14ac:dyDescent="0.25">
      <c r="A42" s="5">
        <v>45465</v>
      </c>
      <c r="B42" s="4" t="s">
        <v>155</v>
      </c>
      <c r="C42" s="17">
        <v>-38.520000000000003</v>
      </c>
      <c r="D42" s="17">
        <f>ABS(Table7[[#This Row],[Amount]])</f>
        <v>38.520000000000003</v>
      </c>
      <c r="E42" s="4" t="s">
        <v>15</v>
      </c>
      <c r="F42" s="4" t="s">
        <v>137</v>
      </c>
    </row>
    <row r="43" spans="1:6" ht="20" x14ac:dyDescent="0.25">
      <c r="A43" s="5">
        <v>45465</v>
      </c>
      <c r="B43" s="4" t="s">
        <v>145</v>
      </c>
      <c r="C43" s="17">
        <v>-8.91</v>
      </c>
      <c r="D43" s="17">
        <f>ABS(Table7[[#This Row],[Amount]])</f>
        <v>8.91</v>
      </c>
      <c r="E43" s="4" t="s">
        <v>10</v>
      </c>
      <c r="F43" s="4" t="s">
        <v>137</v>
      </c>
    </row>
    <row r="44" spans="1:6" ht="20" x14ac:dyDescent="0.25">
      <c r="A44" s="5">
        <v>45465</v>
      </c>
      <c r="B44" s="4" t="s">
        <v>151</v>
      </c>
      <c r="C44" s="17">
        <v>-5.34</v>
      </c>
      <c r="D44" s="17">
        <f>ABS(Table7[[#This Row],[Amount]])</f>
        <v>5.34</v>
      </c>
      <c r="E44" s="4" t="s">
        <v>10</v>
      </c>
      <c r="F44" s="4" t="s">
        <v>137</v>
      </c>
    </row>
    <row r="45" spans="1:6" ht="20" x14ac:dyDescent="0.25">
      <c r="A45" s="5">
        <v>45465</v>
      </c>
      <c r="B45" s="4" t="s">
        <v>153</v>
      </c>
      <c r="C45" s="17">
        <v>-5.73</v>
      </c>
      <c r="D45" s="17">
        <f>ABS(Table7[[#This Row],[Amount]])</f>
        <v>5.73</v>
      </c>
      <c r="E45" s="4" t="s">
        <v>140</v>
      </c>
      <c r="F45" s="4" t="s">
        <v>137</v>
      </c>
    </row>
    <row r="46" spans="1:6" ht="20" x14ac:dyDescent="0.25">
      <c r="A46" s="5">
        <v>45466</v>
      </c>
      <c r="B46" s="20" t="s">
        <v>148</v>
      </c>
      <c r="C46" s="17">
        <v>-62.12</v>
      </c>
      <c r="D46" s="17">
        <f>ABS(Table7[[#This Row],[Amount]])</f>
        <v>62.12</v>
      </c>
      <c r="E46" s="4" t="s">
        <v>10</v>
      </c>
      <c r="F46" s="4" t="s">
        <v>146</v>
      </c>
    </row>
    <row r="47" spans="1:6" ht="20" x14ac:dyDescent="0.25">
      <c r="A47" s="5">
        <v>45466</v>
      </c>
      <c r="B47" s="4" t="s">
        <v>39</v>
      </c>
      <c r="C47" s="17">
        <v>-27.13</v>
      </c>
      <c r="D47" s="17">
        <f>ABS(Table7[[#This Row],[Amount]])</f>
        <v>27.13</v>
      </c>
      <c r="E47" s="4" t="s">
        <v>10</v>
      </c>
      <c r="F47" s="4" t="s">
        <v>149</v>
      </c>
    </row>
    <row r="48" spans="1:6" ht="20" x14ac:dyDescent="0.25">
      <c r="A48" s="5">
        <v>45467</v>
      </c>
      <c r="B48" s="4" t="s">
        <v>143</v>
      </c>
      <c r="C48" s="17">
        <v>-5.71</v>
      </c>
      <c r="D48" s="17">
        <f>ABS(Table7[[#This Row],[Amount]])</f>
        <v>5.71</v>
      </c>
      <c r="E48" s="4" t="s">
        <v>15</v>
      </c>
      <c r="F48" s="4" t="s">
        <v>137</v>
      </c>
    </row>
    <row r="49" spans="1:6" ht="20" x14ac:dyDescent="0.25">
      <c r="A49" s="5">
        <v>45467</v>
      </c>
      <c r="B49" s="4" t="s">
        <v>144</v>
      </c>
      <c r="C49" s="17">
        <v>-29.1</v>
      </c>
      <c r="D49" s="17">
        <f>ABS(Table7[[#This Row],[Amount]])/2</f>
        <v>14.55</v>
      </c>
      <c r="E49" s="4" t="s">
        <v>140</v>
      </c>
      <c r="F49" s="4" t="s">
        <v>137</v>
      </c>
    </row>
    <row r="50" spans="1:6" ht="20" x14ac:dyDescent="0.25">
      <c r="A50" s="5">
        <v>45467</v>
      </c>
      <c r="B50" s="4" t="s">
        <v>145</v>
      </c>
      <c r="C50" s="17">
        <v>-4.75</v>
      </c>
      <c r="D50" s="17">
        <f>ABS(Table7[[#This Row],[Amount]])</f>
        <v>4.75</v>
      </c>
      <c r="E50" s="4" t="s">
        <v>10</v>
      </c>
      <c r="F50" s="4" t="s">
        <v>137</v>
      </c>
    </row>
    <row r="51" spans="1:6" ht="20" x14ac:dyDescent="0.25">
      <c r="A51" s="5">
        <v>45467</v>
      </c>
      <c r="B51" s="4" t="s">
        <v>145</v>
      </c>
      <c r="C51" s="17">
        <v>-6.66</v>
      </c>
      <c r="D51" s="17">
        <f>ABS(Table7[[#This Row],[Amount]])</f>
        <v>6.66</v>
      </c>
      <c r="E51" s="4" t="s">
        <v>10</v>
      </c>
      <c r="F51" s="4" t="s">
        <v>137</v>
      </c>
    </row>
    <row r="52" spans="1:6" ht="20" x14ac:dyDescent="0.25">
      <c r="A52" s="5">
        <v>45467</v>
      </c>
      <c r="B52" s="4" t="s">
        <v>145</v>
      </c>
      <c r="C52" s="17">
        <v>-22.76</v>
      </c>
      <c r="D52" s="17">
        <f>ABS(Table7[[#This Row],[Amount]])</f>
        <v>22.76</v>
      </c>
      <c r="E52" s="4" t="s">
        <v>10</v>
      </c>
      <c r="F52" s="4" t="s">
        <v>137</v>
      </c>
    </row>
    <row r="53" spans="1:6" ht="20" x14ac:dyDescent="0.25">
      <c r="A53" s="5">
        <v>45469</v>
      </c>
      <c r="B53" s="4" t="s">
        <v>141</v>
      </c>
      <c r="C53" s="17">
        <v>-4.62</v>
      </c>
      <c r="D53" s="17">
        <f>ABS(Table7[[#This Row],[Amount]])</f>
        <v>4.62</v>
      </c>
      <c r="E53" s="4" t="s">
        <v>10</v>
      </c>
      <c r="F53" s="4" t="s">
        <v>137</v>
      </c>
    </row>
    <row r="54" spans="1:6" ht="20" x14ac:dyDescent="0.25">
      <c r="A54" s="5">
        <v>45469</v>
      </c>
      <c r="B54" s="4" t="s">
        <v>116</v>
      </c>
      <c r="C54" s="17">
        <v>-2.16</v>
      </c>
      <c r="D54" s="17">
        <f>ABS(Table7[[#This Row],[Amount]])</f>
        <v>2.16</v>
      </c>
      <c r="E54" s="4" t="s">
        <v>10</v>
      </c>
      <c r="F54" s="4" t="s">
        <v>137</v>
      </c>
    </row>
    <row r="55" spans="1:6" ht="20" x14ac:dyDescent="0.25">
      <c r="A55" s="5">
        <v>45469</v>
      </c>
      <c r="B55" s="4" t="s">
        <v>142</v>
      </c>
      <c r="C55" s="17">
        <v>-4.4000000000000004</v>
      </c>
      <c r="D55" s="17">
        <f>ABS(Table7[[#This Row],[Amount]])</f>
        <v>4.4000000000000004</v>
      </c>
      <c r="E55" s="4" t="s">
        <v>15</v>
      </c>
      <c r="F55" s="4" t="s">
        <v>137</v>
      </c>
    </row>
    <row r="56" spans="1:6" ht="20" x14ac:dyDescent="0.25">
      <c r="A56" s="5">
        <v>45470</v>
      </c>
      <c r="B56" s="4" t="s">
        <v>49</v>
      </c>
      <c r="C56" s="17">
        <v>-5.28</v>
      </c>
      <c r="D56" s="17">
        <f>ABS(Table7[[#This Row],[Amount]])</f>
        <v>5.28</v>
      </c>
      <c r="E56" s="4" t="s">
        <v>15</v>
      </c>
      <c r="F56" s="4" t="s">
        <v>137</v>
      </c>
    </row>
    <row r="57" spans="1:6" ht="20" x14ac:dyDescent="0.25">
      <c r="A57" s="5">
        <v>45470</v>
      </c>
      <c r="B57" s="4" t="s">
        <v>49</v>
      </c>
      <c r="C57" s="17">
        <v>-1.23</v>
      </c>
      <c r="D57" s="17">
        <f>ABS(Table7[[#This Row],[Amount]])</f>
        <v>1.23</v>
      </c>
      <c r="E57" s="4" t="s">
        <v>15</v>
      </c>
      <c r="F57" s="4" t="s">
        <v>137</v>
      </c>
    </row>
    <row r="58" spans="1:6" ht="20" x14ac:dyDescent="0.25">
      <c r="A58" s="5">
        <v>45472</v>
      </c>
      <c r="B58" s="4" t="s">
        <v>138</v>
      </c>
      <c r="C58" s="17">
        <v>-7.32</v>
      </c>
      <c r="D58" s="17">
        <f>ABS(Table7[[#This Row],[Amount]])</f>
        <v>7.32</v>
      </c>
      <c r="E58" s="4" t="s">
        <v>10</v>
      </c>
      <c r="F58" s="4" t="s">
        <v>137</v>
      </c>
    </row>
    <row r="59" spans="1:6" ht="20" x14ac:dyDescent="0.25">
      <c r="A59" s="5">
        <v>45472</v>
      </c>
      <c r="B59" s="4" t="s">
        <v>139</v>
      </c>
      <c r="C59" s="17">
        <v>-95.89</v>
      </c>
      <c r="D59" s="17">
        <f>ABS(Table7[[#This Row],[Amount]])/4</f>
        <v>23.9725</v>
      </c>
      <c r="E59" s="4" t="s">
        <v>15</v>
      </c>
      <c r="F59" s="4" t="s">
        <v>137</v>
      </c>
    </row>
    <row r="60" spans="1:6" ht="17" thickBot="1" x14ac:dyDescent="0.25"/>
    <row r="61" spans="1:6" ht="21" thickBot="1" x14ac:dyDescent="0.3">
      <c r="B61" s="31" t="s">
        <v>20</v>
      </c>
      <c r="C61" s="32">
        <f>SUM(Table7[Amount])</f>
        <v>-2172.2300000000005</v>
      </c>
      <c r="D61" s="36">
        <f>SUM(Table7[Amount2])</f>
        <v>1485.3519999999999</v>
      </c>
    </row>
  </sheetData>
  <pageMargins left="0.7" right="0.7" top="0.75" bottom="0.75" header="0.3" footer="0.3"/>
  <ignoredErrors>
    <ignoredError sqref="D6" calculatedColumn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BA65-CB74-7745-906C-E1E2A22F6ABD}">
  <dimension ref="A1:I45"/>
  <sheetViews>
    <sheetView workbookViewId="0">
      <selection sqref="A1:F1"/>
    </sheetView>
  </sheetViews>
  <sheetFormatPr baseColWidth="10" defaultRowHeight="16" x14ac:dyDescent="0.2"/>
  <cols>
    <col min="2" max="2" width="33.33203125" bestFit="1" customWidth="1"/>
    <col min="3" max="3" width="39.6640625" hidden="1" customWidth="1"/>
    <col min="4" max="5" width="24.5" bestFit="1" customWidth="1"/>
    <col min="6" max="6" width="52.83203125" bestFit="1" customWidth="1"/>
    <col min="8" max="8" width="15.6640625" bestFit="1" customWidth="1"/>
    <col min="9" max="9" width="11.1640625" bestFit="1" customWidth="1"/>
  </cols>
  <sheetData>
    <row r="1" spans="1:9" ht="20" x14ac:dyDescent="0.25">
      <c r="A1" s="1" t="s">
        <v>2</v>
      </c>
      <c r="B1" s="2" t="s">
        <v>3</v>
      </c>
      <c r="C1" s="2" t="s">
        <v>4</v>
      </c>
      <c r="D1" s="2" t="s">
        <v>171</v>
      </c>
      <c r="E1" s="2" t="s">
        <v>5</v>
      </c>
      <c r="F1" s="3" t="s">
        <v>170</v>
      </c>
      <c r="H1" s="41" t="s">
        <v>5</v>
      </c>
      <c r="I1" s="29" t="s">
        <v>94</v>
      </c>
    </row>
    <row r="2" spans="1:9" ht="20" x14ac:dyDescent="0.25">
      <c r="A2" s="5">
        <v>45474</v>
      </c>
      <c r="B2" s="4" t="s">
        <v>169</v>
      </c>
      <c r="C2" s="4">
        <v>-14.99</v>
      </c>
      <c r="D2" s="37">
        <f>ABS(C2)</f>
        <v>14.99</v>
      </c>
      <c r="E2" s="4" t="s">
        <v>23</v>
      </c>
      <c r="F2" s="4" t="s">
        <v>146</v>
      </c>
      <c r="H2" s="6" t="s">
        <v>23</v>
      </c>
      <c r="I2" s="42">
        <v>54.42</v>
      </c>
    </row>
    <row r="3" spans="1:9" ht="20" x14ac:dyDescent="0.25">
      <c r="A3" s="5">
        <v>45474</v>
      </c>
      <c r="B3" s="4" t="s">
        <v>192</v>
      </c>
      <c r="C3" s="4">
        <v>-1.25</v>
      </c>
      <c r="D3" s="37">
        <f>ABS(C3)</f>
        <v>1.25</v>
      </c>
      <c r="E3" s="4" t="s">
        <v>12</v>
      </c>
      <c r="F3" s="4" t="s">
        <v>137</v>
      </c>
      <c r="H3" s="6" t="s">
        <v>54</v>
      </c>
      <c r="I3" s="42">
        <v>213.20000000000005</v>
      </c>
    </row>
    <row r="4" spans="1:9" ht="20" x14ac:dyDescent="0.25">
      <c r="A4" s="5">
        <v>45474</v>
      </c>
      <c r="B4" s="4" t="s">
        <v>193</v>
      </c>
      <c r="C4" s="4">
        <v>-75</v>
      </c>
      <c r="D4" s="37">
        <f>ABS(C4)</f>
        <v>75</v>
      </c>
      <c r="E4" s="4" t="s">
        <v>12</v>
      </c>
      <c r="F4" s="4" t="s">
        <v>137</v>
      </c>
      <c r="H4" s="6" t="s">
        <v>140</v>
      </c>
      <c r="I4" s="42">
        <v>20.350000000000001</v>
      </c>
    </row>
    <row r="5" spans="1:9" ht="20" x14ac:dyDescent="0.25">
      <c r="A5" s="5">
        <v>45474</v>
      </c>
      <c r="B5" s="4" t="s">
        <v>194</v>
      </c>
      <c r="C5" s="4">
        <v>-34.24</v>
      </c>
      <c r="D5" s="37">
        <f>ABS(C5)</f>
        <v>34.24</v>
      </c>
      <c r="E5" s="4" t="s">
        <v>15</v>
      </c>
      <c r="F5" s="4" t="s">
        <v>137</v>
      </c>
      <c r="H5" s="6" t="s">
        <v>10</v>
      </c>
      <c r="I5" s="42">
        <v>704.42999999999984</v>
      </c>
    </row>
    <row r="6" spans="1:9" ht="20" x14ac:dyDescent="0.25">
      <c r="A6" s="5">
        <v>45474</v>
      </c>
      <c r="B6" s="4" t="s">
        <v>49</v>
      </c>
      <c r="C6" s="4">
        <v>-14.24</v>
      </c>
      <c r="D6" s="37">
        <f>ABS(C6)+0.09</f>
        <v>14.33</v>
      </c>
      <c r="E6" s="4" t="s">
        <v>15</v>
      </c>
      <c r="F6" s="4" t="s">
        <v>137</v>
      </c>
      <c r="H6" s="6" t="s">
        <v>187</v>
      </c>
      <c r="I6" s="42">
        <v>12.78</v>
      </c>
    </row>
    <row r="7" spans="1:9" ht="20" x14ac:dyDescent="0.25">
      <c r="A7" s="5">
        <v>45475</v>
      </c>
      <c r="B7" s="4" t="s">
        <v>191</v>
      </c>
      <c r="C7" s="4">
        <v>-14.96</v>
      </c>
      <c r="D7" s="37">
        <f t="shared" ref="D7:D37" si="0">ABS(C7)</f>
        <v>14.96</v>
      </c>
      <c r="E7" s="4" t="s">
        <v>15</v>
      </c>
      <c r="F7" s="4" t="s">
        <v>137</v>
      </c>
      <c r="H7" s="6" t="s">
        <v>12</v>
      </c>
      <c r="I7" s="42">
        <v>192.44</v>
      </c>
    </row>
    <row r="8" spans="1:9" ht="20" x14ac:dyDescent="0.25">
      <c r="A8" s="5">
        <v>45475</v>
      </c>
      <c r="B8" s="4" t="s">
        <v>166</v>
      </c>
      <c r="C8" s="4">
        <v>-59.09</v>
      </c>
      <c r="D8" s="37">
        <f t="shared" si="0"/>
        <v>59.09</v>
      </c>
      <c r="E8" s="4" t="s">
        <v>10</v>
      </c>
      <c r="F8" s="4" t="s">
        <v>149</v>
      </c>
      <c r="H8" s="6" t="s">
        <v>15</v>
      </c>
      <c r="I8" s="42">
        <v>149.70875000000001</v>
      </c>
    </row>
    <row r="9" spans="1:9" ht="20" x14ac:dyDescent="0.25">
      <c r="A9" s="5">
        <v>45476</v>
      </c>
      <c r="B9" s="4" t="s">
        <v>189</v>
      </c>
      <c r="C9" s="4">
        <v>-5.82</v>
      </c>
      <c r="D9" s="37">
        <f t="shared" si="0"/>
        <v>5.82</v>
      </c>
      <c r="E9" s="4" t="s">
        <v>54</v>
      </c>
      <c r="F9" s="4" t="s">
        <v>150</v>
      </c>
      <c r="H9" s="6" t="s">
        <v>21</v>
      </c>
      <c r="I9" s="42">
        <v>1347.3287499999999</v>
      </c>
    </row>
    <row r="10" spans="1:9" ht="20" x14ac:dyDescent="0.25">
      <c r="A10" s="5">
        <v>45476</v>
      </c>
      <c r="B10" s="4" t="s">
        <v>190</v>
      </c>
      <c r="C10" s="4">
        <v>-92.31</v>
      </c>
      <c r="D10" s="37">
        <f t="shared" si="0"/>
        <v>92.31</v>
      </c>
      <c r="E10" s="4" t="s">
        <v>12</v>
      </c>
      <c r="F10" s="4" t="s">
        <v>137</v>
      </c>
    </row>
    <row r="11" spans="1:9" ht="20" x14ac:dyDescent="0.25">
      <c r="A11" s="5">
        <v>45477</v>
      </c>
      <c r="B11" s="4" t="s">
        <v>180</v>
      </c>
      <c r="C11" s="4">
        <v>-5.96</v>
      </c>
      <c r="D11" s="37">
        <f t="shared" si="0"/>
        <v>5.96</v>
      </c>
      <c r="E11" s="4" t="s">
        <v>54</v>
      </c>
      <c r="F11" s="4" t="s">
        <v>137</v>
      </c>
    </row>
    <row r="12" spans="1:9" ht="20" x14ac:dyDescent="0.25">
      <c r="A12" s="5">
        <v>45477</v>
      </c>
      <c r="B12" s="4" t="s">
        <v>180</v>
      </c>
      <c r="C12" s="4">
        <v>-33.08</v>
      </c>
      <c r="D12" s="37">
        <f t="shared" si="0"/>
        <v>33.08</v>
      </c>
      <c r="E12" s="4" t="s">
        <v>54</v>
      </c>
      <c r="F12" s="4" t="s">
        <v>137</v>
      </c>
    </row>
    <row r="13" spans="1:9" ht="20" x14ac:dyDescent="0.25">
      <c r="A13" s="5">
        <v>45477</v>
      </c>
      <c r="B13" s="20" t="s">
        <v>186</v>
      </c>
      <c r="C13" s="4">
        <v>-12.78</v>
      </c>
      <c r="D13" s="37">
        <f t="shared" si="0"/>
        <v>12.78</v>
      </c>
      <c r="E13" s="4" t="s">
        <v>187</v>
      </c>
      <c r="F13" s="4" t="s">
        <v>137</v>
      </c>
    </row>
    <row r="14" spans="1:9" ht="20" x14ac:dyDescent="0.25">
      <c r="A14" s="5">
        <v>45477</v>
      </c>
      <c r="B14" s="4" t="s">
        <v>188</v>
      </c>
      <c r="C14" s="4">
        <v>-8.94</v>
      </c>
      <c r="D14" s="37">
        <f t="shared" si="0"/>
        <v>8.94</v>
      </c>
      <c r="E14" s="4" t="s">
        <v>15</v>
      </c>
      <c r="F14" s="4" t="s">
        <v>137</v>
      </c>
    </row>
    <row r="15" spans="1:9" ht="20" x14ac:dyDescent="0.25">
      <c r="A15" s="5">
        <v>45477</v>
      </c>
      <c r="B15" s="4" t="s">
        <v>39</v>
      </c>
      <c r="C15" s="4">
        <v>-10.97</v>
      </c>
      <c r="D15" s="37">
        <f t="shared" si="0"/>
        <v>10.97</v>
      </c>
      <c r="E15" s="4" t="s">
        <v>10</v>
      </c>
      <c r="F15" s="4" t="s">
        <v>149</v>
      </c>
    </row>
    <row r="16" spans="1:9" ht="20" x14ac:dyDescent="0.25">
      <c r="A16" s="5">
        <v>45478</v>
      </c>
      <c r="B16" s="4" t="s">
        <v>185</v>
      </c>
      <c r="C16" s="4">
        <v>-5.97</v>
      </c>
      <c r="D16" s="37">
        <f t="shared" si="0"/>
        <v>5.97</v>
      </c>
      <c r="E16" s="4" t="s">
        <v>15</v>
      </c>
      <c r="F16" s="4" t="s">
        <v>137</v>
      </c>
    </row>
    <row r="17" spans="1:8" ht="20" x14ac:dyDescent="0.25">
      <c r="A17" s="5">
        <v>45481</v>
      </c>
      <c r="B17" s="4" t="s">
        <v>184</v>
      </c>
      <c r="C17" s="4">
        <v>-0.9</v>
      </c>
      <c r="D17" s="37">
        <f t="shared" si="0"/>
        <v>0.9</v>
      </c>
      <c r="E17" s="4" t="s">
        <v>10</v>
      </c>
      <c r="F17" s="4" t="s">
        <v>150</v>
      </c>
    </row>
    <row r="18" spans="1:8" ht="20" x14ac:dyDescent="0.25">
      <c r="A18" s="5">
        <v>45482</v>
      </c>
      <c r="B18" s="4" t="s">
        <v>183</v>
      </c>
      <c r="C18" s="4">
        <v>-25.19</v>
      </c>
      <c r="D18" s="37">
        <f t="shared" si="0"/>
        <v>25.19</v>
      </c>
      <c r="E18" s="4" t="s">
        <v>15</v>
      </c>
      <c r="F18" s="4" t="s">
        <v>150</v>
      </c>
    </row>
    <row r="19" spans="1:8" ht="20" x14ac:dyDescent="0.25">
      <c r="A19" s="5">
        <v>45482</v>
      </c>
      <c r="B19" s="4" t="s">
        <v>166</v>
      </c>
      <c r="C19" s="4">
        <v>-302.08</v>
      </c>
      <c r="D19" s="37">
        <f t="shared" si="0"/>
        <v>302.08</v>
      </c>
      <c r="E19" s="4" t="s">
        <v>10</v>
      </c>
      <c r="F19" s="4" t="s">
        <v>149</v>
      </c>
    </row>
    <row r="20" spans="1:8" ht="20" x14ac:dyDescent="0.25">
      <c r="A20" s="5">
        <v>45482</v>
      </c>
      <c r="B20" s="4" t="s">
        <v>166</v>
      </c>
      <c r="C20" s="4">
        <v>302.08</v>
      </c>
      <c r="D20" s="37">
        <f t="shared" si="0"/>
        <v>302.08</v>
      </c>
      <c r="E20" s="4" t="s">
        <v>10</v>
      </c>
      <c r="F20" s="4" t="s">
        <v>149</v>
      </c>
    </row>
    <row r="21" spans="1:8" ht="20" x14ac:dyDescent="0.25">
      <c r="A21" s="5">
        <v>45484</v>
      </c>
      <c r="B21" s="4" t="s">
        <v>178</v>
      </c>
      <c r="C21" s="4">
        <v>-2.99</v>
      </c>
      <c r="D21" s="37">
        <f t="shared" si="0"/>
        <v>2.99</v>
      </c>
      <c r="E21" s="4" t="s">
        <v>23</v>
      </c>
      <c r="F21" s="4" t="s">
        <v>146</v>
      </c>
    </row>
    <row r="22" spans="1:8" ht="20" x14ac:dyDescent="0.25">
      <c r="A22" s="5">
        <v>45484</v>
      </c>
      <c r="B22" s="4" t="s">
        <v>183</v>
      </c>
      <c r="C22" s="4">
        <v>-3.84</v>
      </c>
      <c r="D22" s="37">
        <f t="shared" si="0"/>
        <v>3.84</v>
      </c>
      <c r="E22" s="4" t="s">
        <v>15</v>
      </c>
      <c r="F22" s="4" t="s">
        <v>137</v>
      </c>
    </row>
    <row r="23" spans="1:8" ht="20" x14ac:dyDescent="0.25">
      <c r="A23" s="5">
        <v>45485</v>
      </c>
      <c r="B23" s="4" t="s">
        <v>119</v>
      </c>
      <c r="C23" s="4">
        <v>-23.88</v>
      </c>
      <c r="D23" s="37">
        <f t="shared" si="0"/>
        <v>23.88</v>
      </c>
      <c r="E23" s="4" t="s">
        <v>12</v>
      </c>
      <c r="F23" s="4" t="s">
        <v>146</v>
      </c>
    </row>
    <row r="24" spans="1:8" ht="20" x14ac:dyDescent="0.25">
      <c r="A24" s="5">
        <v>45485</v>
      </c>
      <c r="B24" s="4" t="s">
        <v>182</v>
      </c>
      <c r="C24" s="4">
        <v>-6.49</v>
      </c>
      <c r="D24" s="37">
        <f t="shared" si="0"/>
        <v>6.49</v>
      </c>
      <c r="E24" s="4" t="s">
        <v>54</v>
      </c>
      <c r="F24" s="4" t="s">
        <v>137</v>
      </c>
    </row>
    <row r="25" spans="1:8" ht="20" x14ac:dyDescent="0.25">
      <c r="A25" s="5">
        <v>45486</v>
      </c>
      <c r="B25" s="4" t="s">
        <v>180</v>
      </c>
      <c r="C25" s="4">
        <v>-70.48</v>
      </c>
      <c r="D25" s="37">
        <f t="shared" si="0"/>
        <v>70.48</v>
      </c>
      <c r="E25" s="4" t="s">
        <v>54</v>
      </c>
      <c r="F25" s="4" t="s">
        <v>137</v>
      </c>
    </row>
    <row r="26" spans="1:8" ht="20" x14ac:dyDescent="0.25">
      <c r="A26" s="5">
        <v>45486</v>
      </c>
      <c r="B26" s="4" t="s">
        <v>181</v>
      </c>
      <c r="C26" s="4">
        <v>-27.49</v>
      </c>
      <c r="D26" s="37">
        <f t="shared" si="0"/>
        <v>27.49</v>
      </c>
      <c r="E26" s="4" t="s">
        <v>54</v>
      </c>
      <c r="F26" s="4" t="s">
        <v>137</v>
      </c>
    </row>
    <row r="27" spans="1:8" ht="20" x14ac:dyDescent="0.25">
      <c r="A27" s="5">
        <v>45487</v>
      </c>
      <c r="B27" s="4" t="s">
        <v>163</v>
      </c>
      <c r="C27" s="4">
        <v>-12.99</v>
      </c>
      <c r="D27" s="37">
        <f t="shared" si="0"/>
        <v>12.99</v>
      </c>
      <c r="E27" s="4" t="s">
        <v>23</v>
      </c>
      <c r="F27" s="4" t="s">
        <v>150</v>
      </c>
    </row>
    <row r="28" spans="1:8" ht="20" x14ac:dyDescent="0.25">
      <c r="A28" s="5">
        <v>45487</v>
      </c>
      <c r="B28" s="4" t="s">
        <v>39</v>
      </c>
      <c r="C28" s="4">
        <v>-10.18</v>
      </c>
      <c r="D28" s="37">
        <f t="shared" si="0"/>
        <v>10.18</v>
      </c>
      <c r="E28" s="4" t="s">
        <v>10</v>
      </c>
      <c r="F28" s="4" t="s">
        <v>149</v>
      </c>
    </row>
    <row r="29" spans="1:8" ht="20" x14ac:dyDescent="0.25">
      <c r="A29" s="5">
        <v>45488</v>
      </c>
      <c r="B29" s="4" t="s">
        <v>179</v>
      </c>
      <c r="C29" s="4">
        <v>-32</v>
      </c>
      <c r="D29" s="37">
        <f t="shared" si="0"/>
        <v>32</v>
      </c>
      <c r="E29" s="4" t="s">
        <v>54</v>
      </c>
      <c r="F29" s="4" t="s">
        <v>137</v>
      </c>
    </row>
    <row r="30" spans="1:8" ht="20" x14ac:dyDescent="0.25">
      <c r="A30" s="5">
        <v>45488</v>
      </c>
      <c r="B30" s="4" t="s">
        <v>180</v>
      </c>
      <c r="C30" s="4">
        <v>-22.99</v>
      </c>
      <c r="D30" s="37">
        <f t="shared" si="0"/>
        <v>22.99</v>
      </c>
      <c r="E30" s="4" t="s">
        <v>54</v>
      </c>
      <c r="F30" s="4" t="s">
        <v>137</v>
      </c>
    </row>
    <row r="31" spans="1:8" ht="20" x14ac:dyDescent="0.25">
      <c r="A31" s="5">
        <v>45488</v>
      </c>
      <c r="B31" s="4" t="s">
        <v>180</v>
      </c>
      <c r="C31" s="4">
        <v>-8.89</v>
      </c>
      <c r="D31" s="37">
        <f t="shared" si="0"/>
        <v>8.89</v>
      </c>
      <c r="E31" s="4" t="s">
        <v>54</v>
      </c>
      <c r="F31" s="4" t="s">
        <v>137</v>
      </c>
    </row>
    <row r="32" spans="1:8" ht="20" x14ac:dyDescent="0.25">
      <c r="A32" s="5">
        <v>45489</v>
      </c>
      <c r="B32" s="4" t="s">
        <v>39</v>
      </c>
      <c r="C32" s="4">
        <v>-3.24</v>
      </c>
      <c r="D32" s="37">
        <f t="shared" si="0"/>
        <v>3.24</v>
      </c>
      <c r="E32" s="4" t="s">
        <v>10</v>
      </c>
      <c r="F32" s="4" t="s">
        <v>149</v>
      </c>
      <c r="H32" s="43"/>
    </row>
    <row r="33" spans="1:6" ht="20" x14ac:dyDescent="0.25">
      <c r="A33" s="5">
        <v>45490</v>
      </c>
      <c r="B33" s="4" t="s">
        <v>65</v>
      </c>
      <c r="C33" s="4">
        <v>-20.350000000000001</v>
      </c>
      <c r="D33" s="37">
        <f t="shared" si="0"/>
        <v>20.350000000000001</v>
      </c>
      <c r="E33" s="4" t="s">
        <v>140</v>
      </c>
      <c r="F33" s="4" t="s">
        <v>137</v>
      </c>
    </row>
    <row r="34" spans="1:6" ht="20" x14ac:dyDescent="0.25">
      <c r="A34" s="5">
        <v>45492</v>
      </c>
      <c r="B34" s="4" t="s">
        <v>178</v>
      </c>
      <c r="C34" s="4">
        <v>-2.99</v>
      </c>
      <c r="D34" s="37">
        <f t="shared" si="0"/>
        <v>2.99</v>
      </c>
      <c r="E34" s="4" t="s">
        <v>23</v>
      </c>
      <c r="F34" s="4" t="s">
        <v>146</v>
      </c>
    </row>
    <row r="35" spans="1:6" ht="20" x14ac:dyDescent="0.25">
      <c r="A35" s="5">
        <v>45498</v>
      </c>
      <c r="B35" s="4" t="s">
        <v>39</v>
      </c>
      <c r="C35" s="4">
        <v>-3.9</v>
      </c>
      <c r="D35" s="37">
        <f t="shared" si="0"/>
        <v>3.9</v>
      </c>
      <c r="E35" s="4" t="s">
        <v>10</v>
      </c>
      <c r="F35" s="4" t="s">
        <v>149</v>
      </c>
    </row>
    <row r="36" spans="1:6" ht="20" x14ac:dyDescent="0.25">
      <c r="A36" s="5">
        <v>45498</v>
      </c>
      <c r="B36" s="4" t="s">
        <v>39</v>
      </c>
      <c r="C36" s="4">
        <v>-4.33</v>
      </c>
      <c r="D36" s="37">
        <f t="shared" si="0"/>
        <v>4.33</v>
      </c>
      <c r="E36" s="4" t="s">
        <v>10</v>
      </c>
      <c r="F36" s="4" t="s">
        <v>149</v>
      </c>
    </row>
    <row r="37" spans="1:6" ht="20" x14ac:dyDescent="0.25">
      <c r="A37" s="5">
        <v>45498</v>
      </c>
      <c r="B37" s="4" t="s">
        <v>39</v>
      </c>
      <c r="C37" s="4">
        <v>-3.37</v>
      </c>
      <c r="D37" s="37">
        <f t="shared" si="0"/>
        <v>3.37</v>
      </c>
      <c r="E37" s="4" t="s">
        <v>10</v>
      </c>
      <c r="F37" s="4" t="s">
        <v>149</v>
      </c>
    </row>
    <row r="38" spans="1:6" ht="20" x14ac:dyDescent="0.25">
      <c r="A38" s="5">
        <v>45499</v>
      </c>
      <c r="B38" s="4" t="s">
        <v>167</v>
      </c>
      <c r="C38" s="4">
        <v>-155.27000000000001</v>
      </c>
      <c r="D38" s="37">
        <f>ABS(C38)/8</f>
        <v>19.408750000000001</v>
      </c>
      <c r="E38" s="4" t="s">
        <v>15</v>
      </c>
      <c r="F38" s="4" t="s">
        <v>137</v>
      </c>
    </row>
    <row r="39" spans="1:6" ht="20" x14ac:dyDescent="0.25">
      <c r="A39" s="5">
        <v>45500</v>
      </c>
      <c r="B39" s="4" t="s">
        <v>176</v>
      </c>
      <c r="C39" s="4">
        <v>-12.97</v>
      </c>
      <c r="D39" s="37">
        <f>ABS(C39)</f>
        <v>12.97</v>
      </c>
      <c r="E39" s="4" t="s">
        <v>15</v>
      </c>
      <c r="F39" s="4" t="s">
        <v>137</v>
      </c>
    </row>
    <row r="40" spans="1:6" ht="20" x14ac:dyDescent="0.25">
      <c r="A40" s="5">
        <v>45500</v>
      </c>
      <c r="B40" s="4" t="s">
        <v>177</v>
      </c>
      <c r="C40" s="4">
        <v>-40.92</v>
      </c>
      <c r="D40" s="37">
        <f>ABS(C40)/2</f>
        <v>20.46</v>
      </c>
      <c r="E40" s="4" t="s">
        <v>23</v>
      </c>
      <c r="F40" s="4" t="s">
        <v>137</v>
      </c>
    </row>
    <row r="41" spans="1:6" ht="20" x14ac:dyDescent="0.25">
      <c r="A41" s="5">
        <v>45501</v>
      </c>
      <c r="B41" s="4" t="s">
        <v>39</v>
      </c>
      <c r="C41" s="4">
        <v>-4.29</v>
      </c>
      <c r="D41" s="37">
        <f>ABS(C41)</f>
        <v>4.29</v>
      </c>
      <c r="E41" s="4" t="s">
        <v>10</v>
      </c>
      <c r="F41" s="4" t="s">
        <v>149</v>
      </c>
    </row>
    <row r="42" spans="1:6" ht="20" x14ac:dyDescent="0.25">
      <c r="A42" s="5">
        <v>45502</v>
      </c>
      <c r="B42" s="4" t="s">
        <v>162</v>
      </c>
      <c r="C42" s="4">
        <v>-9.86</v>
      </c>
      <c r="D42" s="37">
        <f>ABS(C42)</f>
        <v>9.86</v>
      </c>
      <c r="E42" s="4" t="s">
        <v>15</v>
      </c>
      <c r="F42" s="4" t="s">
        <v>137</v>
      </c>
    </row>
    <row r="43" spans="1:6" ht="17" thickBot="1" x14ac:dyDescent="0.25"/>
    <row r="44" spans="1:6" ht="21" thickBot="1" x14ac:dyDescent="0.3">
      <c r="B44" s="31" t="s">
        <v>20</v>
      </c>
      <c r="C44" s="39"/>
      <c r="D44" s="40">
        <f>SUM(Table8[Amount2])</f>
        <v>1347.3287499999999</v>
      </c>
    </row>
    <row r="45" spans="1:6" x14ac:dyDescent="0.2">
      <c r="D45" s="38"/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608-436C-DA46-AD98-DA700D12364A}">
  <dimension ref="A1:I25"/>
  <sheetViews>
    <sheetView workbookViewId="0">
      <selection activeCell="E16" sqref="E16"/>
    </sheetView>
  </sheetViews>
  <sheetFormatPr baseColWidth="10" defaultRowHeight="16" x14ac:dyDescent="0.2"/>
  <cols>
    <col min="1" max="1" width="10" customWidth="1"/>
    <col min="2" max="2" width="37.6640625" customWidth="1"/>
    <col min="3" max="3" width="12" hidden="1" customWidth="1"/>
    <col min="4" max="4" width="13.33203125" bestFit="1" customWidth="1"/>
    <col min="5" max="5" width="29.6640625" bestFit="1" customWidth="1"/>
    <col min="6" max="6" width="52.83203125" bestFit="1" customWidth="1"/>
    <col min="8" max="8" width="16.33203125" bestFit="1" customWidth="1"/>
    <col min="9" max="9" width="11.5" bestFit="1" customWidth="1"/>
  </cols>
  <sheetData>
    <row r="1" spans="1:9" ht="20" x14ac:dyDescent="0.25">
      <c r="A1" s="1" t="s">
        <v>2</v>
      </c>
      <c r="B1" s="2" t="s">
        <v>3</v>
      </c>
      <c r="C1" s="2" t="s">
        <v>4</v>
      </c>
      <c r="D1" s="2" t="s">
        <v>171</v>
      </c>
      <c r="E1" s="2" t="s">
        <v>5</v>
      </c>
      <c r="F1" s="3" t="s">
        <v>170</v>
      </c>
      <c r="H1" s="45" t="s">
        <v>5</v>
      </c>
      <c r="I1" s="45" t="s">
        <v>94</v>
      </c>
    </row>
    <row r="2" spans="1:9" ht="20" x14ac:dyDescent="0.25">
      <c r="A2" s="5">
        <v>45505</v>
      </c>
      <c r="B2" s="4" t="s">
        <v>169</v>
      </c>
      <c r="C2" s="4">
        <v>-14.99</v>
      </c>
      <c r="D2" s="37">
        <f>ABS(Table9[[#This Row],[Amount]])</f>
        <v>14.99</v>
      </c>
      <c r="E2" s="4" t="s">
        <v>23</v>
      </c>
      <c r="F2" s="4" t="s">
        <v>146</v>
      </c>
      <c r="H2" s="6" t="s">
        <v>23</v>
      </c>
      <c r="I2" s="8">
        <v>53.11</v>
      </c>
    </row>
    <row r="3" spans="1:9" ht="20" x14ac:dyDescent="0.25">
      <c r="A3" s="5">
        <v>45507</v>
      </c>
      <c r="B3" s="4" t="s">
        <v>39</v>
      </c>
      <c r="C3" s="4">
        <v>-4.41</v>
      </c>
      <c r="D3" s="37">
        <f>ABS(Table9[[#This Row],[Amount]])</f>
        <v>4.41</v>
      </c>
      <c r="E3" s="4" t="s">
        <v>47</v>
      </c>
      <c r="F3" s="4" t="s">
        <v>149</v>
      </c>
      <c r="H3" s="6" t="s">
        <v>10</v>
      </c>
      <c r="I3" s="8">
        <v>344.69</v>
      </c>
    </row>
    <row r="4" spans="1:9" ht="20" x14ac:dyDescent="0.25">
      <c r="A4" s="5">
        <v>45509</v>
      </c>
      <c r="B4" s="4" t="s">
        <v>197</v>
      </c>
      <c r="C4" s="4">
        <v>-120</v>
      </c>
      <c r="D4" s="37">
        <f>ABS(Table9[[#This Row],[Amount]])</f>
        <v>120</v>
      </c>
      <c r="E4" s="4" t="s">
        <v>10</v>
      </c>
      <c r="F4" s="4" t="s">
        <v>196</v>
      </c>
      <c r="H4" s="6" t="s">
        <v>47</v>
      </c>
      <c r="I4" s="8">
        <v>22.699999999999996</v>
      </c>
    </row>
    <row r="5" spans="1:9" ht="20" x14ac:dyDescent="0.25">
      <c r="A5" s="5">
        <v>45510</v>
      </c>
      <c r="B5" s="4" t="s">
        <v>39</v>
      </c>
      <c r="C5" s="4">
        <v>-3.57</v>
      </c>
      <c r="D5" s="37">
        <f>ABS(Table9[[#This Row],[Amount]])</f>
        <v>3.57</v>
      </c>
      <c r="E5" s="4" t="s">
        <v>47</v>
      </c>
      <c r="F5" s="4" t="s">
        <v>149</v>
      </c>
      <c r="H5" s="6" t="s">
        <v>12</v>
      </c>
      <c r="I5" s="8">
        <v>165.44</v>
      </c>
    </row>
    <row r="6" spans="1:9" ht="20" x14ac:dyDescent="0.25">
      <c r="A6" s="5">
        <v>45511</v>
      </c>
      <c r="B6" s="4" t="s">
        <v>109</v>
      </c>
      <c r="C6" s="4">
        <v>-96.96</v>
      </c>
      <c r="D6" s="37">
        <f>ABS(Table9[[#This Row],[Amount]])</f>
        <v>96.96</v>
      </c>
      <c r="E6" s="4" t="s">
        <v>12</v>
      </c>
      <c r="F6" s="4" t="s">
        <v>146</v>
      </c>
      <c r="H6" s="6" t="s">
        <v>15</v>
      </c>
      <c r="I6" s="8">
        <v>133.63499999999999</v>
      </c>
    </row>
    <row r="7" spans="1:9" ht="21" thickBot="1" x14ac:dyDescent="0.3">
      <c r="A7" s="5">
        <v>45511</v>
      </c>
      <c r="B7" s="4" t="s">
        <v>178</v>
      </c>
      <c r="C7" s="4">
        <v>-9.51</v>
      </c>
      <c r="D7" s="37">
        <f>ABS(Table9[[#This Row],[Amount]])</f>
        <v>9.51</v>
      </c>
      <c r="E7" s="4" t="s">
        <v>23</v>
      </c>
      <c r="F7" s="4" t="s">
        <v>146</v>
      </c>
      <c r="H7" s="46" t="s">
        <v>21</v>
      </c>
      <c r="I7" s="47">
        <v>719.57500000000005</v>
      </c>
    </row>
    <row r="8" spans="1:9" ht="21" thickTop="1" x14ac:dyDescent="0.25">
      <c r="A8" s="5">
        <v>45512</v>
      </c>
      <c r="B8" s="4" t="s">
        <v>39</v>
      </c>
      <c r="C8" s="4">
        <v>-2.38</v>
      </c>
      <c r="D8" s="37">
        <f>ABS(Table9[[#This Row],[Amount]])</f>
        <v>2.38</v>
      </c>
      <c r="E8" s="4" t="s">
        <v>47</v>
      </c>
      <c r="F8" s="4" t="s">
        <v>149</v>
      </c>
    </row>
    <row r="9" spans="1:9" ht="20" x14ac:dyDescent="0.25">
      <c r="A9" s="5">
        <v>45513</v>
      </c>
      <c r="B9" s="4" t="s">
        <v>199</v>
      </c>
      <c r="C9" s="4">
        <v>-28.61</v>
      </c>
      <c r="D9" s="37">
        <f>ABS(Table9[[#This Row],[Amount]])</f>
        <v>28.61</v>
      </c>
      <c r="E9" s="4" t="s">
        <v>12</v>
      </c>
      <c r="F9" s="4" t="s">
        <v>137</v>
      </c>
    </row>
    <row r="10" spans="1:9" ht="20" x14ac:dyDescent="0.25">
      <c r="A10" s="5">
        <v>45513</v>
      </c>
      <c r="B10" s="4" t="s">
        <v>176</v>
      </c>
      <c r="C10" s="4">
        <v>-16</v>
      </c>
      <c r="D10" s="37">
        <f>ABS(Table9[[#This Row],[Amount]])</f>
        <v>16</v>
      </c>
      <c r="E10" s="4" t="s">
        <v>15</v>
      </c>
      <c r="F10" s="4" t="s">
        <v>137</v>
      </c>
    </row>
    <row r="11" spans="1:9" ht="20" x14ac:dyDescent="0.25">
      <c r="A11" s="5">
        <v>45513</v>
      </c>
      <c r="B11" s="4" t="s">
        <v>39</v>
      </c>
      <c r="C11" s="4">
        <v>-2.2200000000000002</v>
      </c>
      <c r="D11" s="37">
        <f>ABS(Table9[[#This Row],[Amount]])</f>
        <v>2.2200000000000002</v>
      </c>
      <c r="E11" s="4" t="s">
        <v>47</v>
      </c>
      <c r="F11" s="4" t="s">
        <v>149</v>
      </c>
    </row>
    <row r="12" spans="1:9" ht="20" x14ac:dyDescent="0.25">
      <c r="A12" s="5">
        <v>45516</v>
      </c>
      <c r="B12" s="4" t="s">
        <v>39</v>
      </c>
      <c r="C12" s="4">
        <v>-2.19</v>
      </c>
      <c r="D12" s="37">
        <f>ABS(Table9[[#This Row],[Amount]])</f>
        <v>2.19</v>
      </c>
      <c r="E12" s="4" t="s">
        <v>47</v>
      </c>
      <c r="F12" s="4" t="s">
        <v>149</v>
      </c>
    </row>
    <row r="13" spans="1:9" ht="20" x14ac:dyDescent="0.25">
      <c r="A13" s="5">
        <v>45516</v>
      </c>
      <c r="B13" s="4" t="s">
        <v>39</v>
      </c>
      <c r="C13" s="4">
        <v>-0.94</v>
      </c>
      <c r="D13" s="37">
        <f>ABS(Table9[[#This Row],[Amount]])</f>
        <v>0.94</v>
      </c>
      <c r="E13" s="4" t="s">
        <v>47</v>
      </c>
      <c r="F13" s="4" t="s">
        <v>149</v>
      </c>
    </row>
    <row r="14" spans="1:9" ht="20" x14ac:dyDescent="0.25">
      <c r="A14" s="5">
        <v>45518</v>
      </c>
      <c r="B14" s="4" t="s">
        <v>163</v>
      </c>
      <c r="C14" s="4">
        <v>-12.99</v>
      </c>
      <c r="D14" s="37">
        <f>ABS(Table9[[#This Row],[Amount]])</f>
        <v>12.99</v>
      </c>
      <c r="E14" s="4" t="s">
        <v>12</v>
      </c>
      <c r="F14" s="4" t="s">
        <v>150</v>
      </c>
    </row>
    <row r="15" spans="1:9" ht="20" x14ac:dyDescent="0.25">
      <c r="A15" s="5">
        <v>45518</v>
      </c>
      <c r="B15" s="4" t="s">
        <v>184</v>
      </c>
      <c r="C15" s="4">
        <v>-150.4</v>
      </c>
      <c r="D15" s="37">
        <f>ABS(Table9[[#This Row],[Amount]])</f>
        <v>150.4</v>
      </c>
      <c r="E15" s="4" t="s">
        <v>10</v>
      </c>
      <c r="F15" s="4" t="s">
        <v>150</v>
      </c>
    </row>
    <row r="16" spans="1:9" ht="20" x14ac:dyDescent="0.25">
      <c r="A16" s="5">
        <v>45522</v>
      </c>
      <c r="B16" s="4" t="s">
        <v>178</v>
      </c>
      <c r="C16" s="4">
        <v>-2.99</v>
      </c>
      <c r="D16" s="37">
        <f>ABS(Table9[[#This Row],[Amount]])</f>
        <v>2.99</v>
      </c>
      <c r="E16" s="4" t="s">
        <v>12</v>
      </c>
      <c r="F16" s="4" t="s">
        <v>146</v>
      </c>
    </row>
    <row r="17" spans="1:6" ht="20" x14ac:dyDescent="0.25">
      <c r="A17" s="5">
        <v>45523</v>
      </c>
      <c r="B17" s="4" t="s">
        <v>198</v>
      </c>
      <c r="C17" s="4">
        <v>-52.5</v>
      </c>
      <c r="D17" s="37">
        <f>ABS(Table9[[#This Row],[Amount]])</f>
        <v>52.5</v>
      </c>
      <c r="E17" s="4" t="s">
        <v>12</v>
      </c>
      <c r="F17" s="4" t="s">
        <v>146</v>
      </c>
    </row>
    <row r="18" spans="1:6" ht="20" x14ac:dyDescent="0.25">
      <c r="A18" s="5">
        <v>45528</v>
      </c>
      <c r="B18" s="4" t="s">
        <v>195</v>
      </c>
      <c r="C18" s="4">
        <v>-12</v>
      </c>
      <c r="D18" s="37">
        <f>ABS(Table9[[#This Row],[Amount]])</f>
        <v>12</v>
      </c>
      <c r="E18" s="4" t="s">
        <v>10</v>
      </c>
      <c r="F18" s="4" t="s">
        <v>150</v>
      </c>
    </row>
    <row r="19" spans="1:6" ht="20" x14ac:dyDescent="0.25">
      <c r="A19" s="5">
        <v>45528</v>
      </c>
      <c r="B19" s="4" t="s">
        <v>184</v>
      </c>
      <c r="C19" s="4">
        <v>-48.99</v>
      </c>
      <c r="D19" s="37">
        <f>ABS(Table9[[#This Row],[Amount]])</f>
        <v>48.99</v>
      </c>
      <c r="E19" s="4" t="s">
        <v>10</v>
      </c>
      <c r="F19" s="4" t="s">
        <v>150</v>
      </c>
    </row>
    <row r="20" spans="1:6" ht="20" x14ac:dyDescent="0.25">
      <c r="A20" s="5">
        <v>45530</v>
      </c>
      <c r="B20" s="4" t="s">
        <v>166</v>
      </c>
      <c r="C20" s="4">
        <v>-2.08</v>
      </c>
      <c r="D20" s="37">
        <f>ABS(Table9[[#This Row],[Amount]])</f>
        <v>2.08</v>
      </c>
      <c r="E20" s="4" t="s">
        <v>10</v>
      </c>
      <c r="F20" s="4" t="s">
        <v>149</v>
      </c>
    </row>
    <row r="21" spans="1:6" ht="20" x14ac:dyDescent="0.25">
      <c r="A21" s="5">
        <v>45532</v>
      </c>
      <c r="B21" s="4" t="s">
        <v>39</v>
      </c>
      <c r="C21" s="4">
        <v>-11.22</v>
      </c>
      <c r="D21" s="37">
        <f>ABS(Table9[[#This Row],[Amount]])</f>
        <v>11.22</v>
      </c>
      <c r="E21" s="4" t="s">
        <v>10</v>
      </c>
      <c r="F21" s="4" t="s">
        <v>149</v>
      </c>
    </row>
    <row r="22" spans="1:6" ht="20" x14ac:dyDescent="0.25">
      <c r="A22" s="5">
        <v>45533</v>
      </c>
      <c r="B22" s="4" t="s">
        <v>176</v>
      </c>
      <c r="C22" s="4">
        <v>-98.81</v>
      </c>
      <c r="D22" s="37">
        <f>ABS(Table9[[#This Row],[Amount]])</f>
        <v>98.81</v>
      </c>
      <c r="E22" s="4" t="s">
        <v>15</v>
      </c>
      <c r="F22" s="4" t="s">
        <v>137</v>
      </c>
    </row>
    <row r="23" spans="1:6" ht="20" x14ac:dyDescent="0.25">
      <c r="A23" s="5">
        <v>45533</v>
      </c>
      <c r="B23" s="4" t="s">
        <v>39</v>
      </c>
      <c r="C23" s="4">
        <v>-4.34</v>
      </c>
      <c r="D23" s="37">
        <f>ABS(Table9[[#This Row],[Amount]])</f>
        <v>4.34</v>
      </c>
      <c r="E23" s="44" t="s">
        <v>47</v>
      </c>
      <c r="F23" s="4" t="s">
        <v>149</v>
      </c>
    </row>
    <row r="24" spans="1:6" ht="20" x14ac:dyDescent="0.25">
      <c r="A24" s="5">
        <v>45533</v>
      </c>
      <c r="B24" s="4" t="s">
        <v>39</v>
      </c>
      <c r="C24" s="4">
        <v>-2.65</v>
      </c>
      <c r="D24" s="37">
        <f>ABS(Table9[[#This Row],[Amount]])</f>
        <v>2.65</v>
      </c>
      <c r="E24" s="44" t="s">
        <v>47</v>
      </c>
      <c r="F24" s="4" t="s">
        <v>149</v>
      </c>
    </row>
    <row r="25" spans="1:6" ht="20" x14ac:dyDescent="0.25">
      <c r="A25" s="5">
        <v>45534</v>
      </c>
      <c r="B25" s="4" t="s">
        <v>167</v>
      </c>
      <c r="C25" s="4">
        <v>-150.6</v>
      </c>
      <c r="D25" s="37">
        <f>ABS(Table9[[#This Row],[Amount]])/8</f>
        <v>18.824999999999999</v>
      </c>
      <c r="E25" s="4" t="s">
        <v>15</v>
      </c>
      <c r="F25" s="4" t="s">
        <v>137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BC31-1B78-9B43-8D1F-59ED52710A2A}">
  <dimension ref="A1:I24"/>
  <sheetViews>
    <sheetView workbookViewId="0">
      <selection sqref="A1:F1"/>
    </sheetView>
  </sheetViews>
  <sheetFormatPr baseColWidth="10" defaultRowHeight="16" x14ac:dyDescent="0.2"/>
  <cols>
    <col min="1" max="1" width="9.83203125" bestFit="1" customWidth="1"/>
    <col min="2" max="2" width="41.6640625" customWidth="1"/>
    <col min="3" max="3" width="11.83203125" hidden="1" customWidth="1"/>
    <col min="4" max="4" width="13.1640625" customWidth="1"/>
    <col min="5" max="5" width="22.6640625" bestFit="1" customWidth="1"/>
    <col min="6" max="6" width="52.83203125" bestFit="1" customWidth="1"/>
    <col min="8" max="8" width="15.6640625" bestFit="1" customWidth="1"/>
    <col min="9" max="9" width="18.6640625" bestFit="1" customWidth="1"/>
  </cols>
  <sheetData>
    <row r="1" spans="1:9" ht="20" x14ac:dyDescent="0.25">
      <c r="A1" s="1" t="s">
        <v>2</v>
      </c>
      <c r="B1" s="2" t="s">
        <v>3</v>
      </c>
      <c r="C1" s="2" t="s">
        <v>4</v>
      </c>
      <c r="D1" s="2" t="s">
        <v>171</v>
      </c>
      <c r="E1" s="2" t="s">
        <v>5</v>
      </c>
      <c r="F1" s="3" t="s">
        <v>170</v>
      </c>
      <c r="H1" s="49" t="s">
        <v>5</v>
      </c>
      <c r="I1" s="49" t="s">
        <v>94</v>
      </c>
    </row>
    <row r="2" spans="1:9" ht="20" x14ac:dyDescent="0.25">
      <c r="A2" s="5">
        <v>45536</v>
      </c>
      <c r="B2" s="4" t="s">
        <v>169</v>
      </c>
      <c r="C2" s="4">
        <v>-14.99</v>
      </c>
      <c r="D2" s="37">
        <f>ABS(C2)</f>
        <v>14.99</v>
      </c>
      <c r="E2" s="4" t="s">
        <v>23</v>
      </c>
      <c r="F2" s="4" t="s">
        <v>146</v>
      </c>
      <c r="H2" s="48" t="s">
        <v>23</v>
      </c>
      <c r="I2" s="51">
        <v>57.940000000000005</v>
      </c>
    </row>
    <row r="3" spans="1:9" ht="20" x14ac:dyDescent="0.25">
      <c r="A3" s="5">
        <v>45536</v>
      </c>
      <c r="B3" s="4" t="s">
        <v>39</v>
      </c>
      <c r="C3" s="4">
        <v>-3.24</v>
      </c>
      <c r="D3" s="37">
        <f>ABS(C3)</f>
        <v>3.24</v>
      </c>
      <c r="E3" s="4" t="s">
        <v>10</v>
      </c>
      <c r="F3" s="4" t="s">
        <v>150</v>
      </c>
      <c r="H3" s="48" t="s">
        <v>54</v>
      </c>
      <c r="I3" s="51">
        <v>186.69</v>
      </c>
    </row>
    <row r="4" spans="1:9" ht="20" x14ac:dyDescent="0.25">
      <c r="A4" s="5">
        <v>45541</v>
      </c>
      <c r="B4" s="4" t="s">
        <v>206</v>
      </c>
      <c r="C4" s="4">
        <v>-395</v>
      </c>
      <c r="D4" s="37">
        <f>ABS(C4)-300</f>
        <v>95</v>
      </c>
      <c r="E4" s="4" t="s">
        <v>12</v>
      </c>
      <c r="F4" s="4" t="s">
        <v>137</v>
      </c>
      <c r="H4" s="48" t="s">
        <v>10</v>
      </c>
      <c r="I4" s="51">
        <v>8.84</v>
      </c>
    </row>
    <row r="5" spans="1:9" ht="20" x14ac:dyDescent="0.25">
      <c r="A5" s="5">
        <v>45542</v>
      </c>
      <c r="B5" s="4" t="s">
        <v>178</v>
      </c>
      <c r="C5" s="4">
        <v>-9.99</v>
      </c>
      <c r="D5" s="37">
        <f t="shared" ref="D5:D24" si="0">ABS(C5)</f>
        <v>9.99</v>
      </c>
      <c r="E5" s="4" t="s">
        <v>23</v>
      </c>
      <c r="F5" s="4" t="s">
        <v>146</v>
      </c>
      <c r="H5" s="48" t="s">
        <v>12</v>
      </c>
      <c r="I5" s="51">
        <v>811.14</v>
      </c>
    </row>
    <row r="6" spans="1:9" ht="20" x14ac:dyDescent="0.25">
      <c r="A6" s="5">
        <v>45547</v>
      </c>
      <c r="B6" s="4" t="s">
        <v>109</v>
      </c>
      <c r="C6" s="4">
        <v>-58.17</v>
      </c>
      <c r="D6" s="37">
        <f t="shared" si="0"/>
        <v>58.17</v>
      </c>
      <c r="E6" s="4" t="s">
        <v>12</v>
      </c>
      <c r="F6" s="4" t="s">
        <v>146</v>
      </c>
      <c r="H6" s="48" t="s">
        <v>15</v>
      </c>
      <c r="I6" s="51">
        <v>11.8</v>
      </c>
    </row>
    <row r="7" spans="1:9" ht="20" x14ac:dyDescent="0.25">
      <c r="A7" s="5">
        <v>45547</v>
      </c>
      <c r="B7" s="4" t="s">
        <v>205</v>
      </c>
      <c r="C7" s="4">
        <v>-150</v>
      </c>
      <c r="D7" s="37">
        <f t="shared" si="0"/>
        <v>150</v>
      </c>
      <c r="E7" s="4" t="s">
        <v>12</v>
      </c>
      <c r="F7" s="4" t="s">
        <v>137</v>
      </c>
      <c r="H7" s="49" t="s">
        <v>21</v>
      </c>
      <c r="I7" s="50">
        <v>1076.4099999999999</v>
      </c>
    </row>
    <row r="8" spans="1:9" ht="20" x14ac:dyDescent="0.25">
      <c r="A8" s="5">
        <v>45548</v>
      </c>
      <c r="B8" s="4" t="s">
        <v>109</v>
      </c>
      <c r="C8" s="4">
        <v>-66.73</v>
      </c>
      <c r="D8" s="37">
        <f t="shared" si="0"/>
        <v>66.73</v>
      </c>
      <c r="E8" s="4" t="s">
        <v>12</v>
      </c>
      <c r="F8" s="4" t="s">
        <v>146</v>
      </c>
    </row>
    <row r="9" spans="1:9" ht="20" x14ac:dyDescent="0.25">
      <c r="A9" s="5">
        <v>45549</v>
      </c>
      <c r="B9" s="4" t="s">
        <v>180</v>
      </c>
      <c r="C9" s="4">
        <v>-59.74</v>
      </c>
      <c r="D9" s="37">
        <f t="shared" si="0"/>
        <v>59.74</v>
      </c>
      <c r="E9" s="4" t="s">
        <v>54</v>
      </c>
      <c r="F9" s="4" t="s">
        <v>146</v>
      </c>
    </row>
    <row r="10" spans="1:9" ht="20" x14ac:dyDescent="0.25">
      <c r="A10" s="5">
        <v>45549</v>
      </c>
      <c r="B10" s="4" t="s">
        <v>204</v>
      </c>
      <c r="C10" s="4">
        <v>-129</v>
      </c>
      <c r="D10" s="37">
        <f t="shared" si="0"/>
        <v>129</v>
      </c>
      <c r="E10" s="4" t="s">
        <v>12</v>
      </c>
      <c r="F10" s="4" t="s">
        <v>150</v>
      </c>
    </row>
    <row r="11" spans="1:9" ht="20" x14ac:dyDescent="0.25">
      <c r="A11" s="5">
        <v>45549</v>
      </c>
      <c r="B11" s="4" t="s">
        <v>163</v>
      </c>
      <c r="C11" s="4">
        <v>-12.99</v>
      </c>
      <c r="D11" s="37">
        <f t="shared" si="0"/>
        <v>12.99</v>
      </c>
      <c r="E11" s="4" t="s">
        <v>23</v>
      </c>
      <c r="F11" s="4" t="s">
        <v>150</v>
      </c>
    </row>
    <row r="12" spans="1:9" ht="20" x14ac:dyDescent="0.25">
      <c r="A12" s="5">
        <v>45550</v>
      </c>
      <c r="B12" s="4" t="s">
        <v>109</v>
      </c>
      <c r="C12" s="4">
        <v>-289.08999999999997</v>
      </c>
      <c r="D12" s="37">
        <f t="shared" si="0"/>
        <v>289.08999999999997</v>
      </c>
      <c r="E12" s="4" t="s">
        <v>12</v>
      </c>
      <c r="F12" s="4" t="s">
        <v>146</v>
      </c>
    </row>
    <row r="13" spans="1:9" ht="20" x14ac:dyDescent="0.25">
      <c r="A13" s="5">
        <v>45551</v>
      </c>
      <c r="B13" s="4" t="s">
        <v>181</v>
      </c>
      <c r="C13" s="4">
        <v>-28.26</v>
      </c>
      <c r="D13" s="37">
        <f t="shared" si="0"/>
        <v>28.26</v>
      </c>
      <c r="E13" s="4" t="s">
        <v>54</v>
      </c>
      <c r="F13" s="4" t="s">
        <v>137</v>
      </c>
    </row>
    <row r="14" spans="1:9" ht="20" x14ac:dyDescent="0.25">
      <c r="A14" s="5">
        <v>45551</v>
      </c>
      <c r="B14" s="4" t="s">
        <v>202</v>
      </c>
      <c r="C14" s="4">
        <v>-18.86</v>
      </c>
      <c r="D14" s="37">
        <f t="shared" si="0"/>
        <v>18.86</v>
      </c>
      <c r="E14" s="4" t="s">
        <v>12</v>
      </c>
      <c r="F14" s="4" t="s">
        <v>137</v>
      </c>
    </row>
    <row r="15" spans="1:9" ht="20" x14ac:dyDescent="0.25">
      <c r="A15" s="5">
        <v>45551</v>
      </c>
      <c r="B15" s="4" t="s">
        <v>203</v>
      </c>
      <c r="C15" s="4">
        <v>-55.43</v>
      </c>
      <c r="D15" s="37">
        <f t="shared" si="0"/>
        <v>55.43</v>
      </c>
      <c r="E15" s="4" t="s">
        <v>54</v>
      </c>
      <c r="F15" s="4" t="s">
        <v>137</v>
      </c>
    </row>
    <row r="16" spans="1:9" ht="20" x14ac:dyDescent="0.25">
      <c r="A16" s="5">
        <v>45551</v>
      </c>
      <c r="B16" s="4" t="s">
        <v>181</v>
      </c>
      <c r="C16" s="4">
        <v>-28.98</v>
      </c>
      <c r="D16" s="37">
        <f t="shared" si="0"/>
        <v>28.98</v>
      </c>
      <c r="E16" s="4" t="s">
        <v>54</v>
      </c>
      <c r="F16" s="4" t="s">
        <v>137</v>
      </c>
    </row>
    <row r="17" spans="1:6" ht="20" x14ac:dyDescent="0.25">
      <c r="A17" s="5">
        <v>45552</v>
      </c>
      <c r="B17" s="4" t="s">
        <v>208</v>
      </c>
      <c r="C17" s="4">
        <v>-9.99</v>
      </c>
      <c r="D17" s="37">
        <f t="shared" si="0"/>
        <v>9.99</v>
      </c>
      <c r="E17" s="4" t="s">
        <v>23</v>
      </c>
      <c r="F17" s="4" t="s">
        <v>137</v>
      </c>
    </row>
    <row r="18" spans="1:6" ht="20" x14ac:dyDescent="0.25">
      <c r="A18" s="5">
        <v>45553</v>
      </c>
      <c r="B18" s="4" t="s">
        <v>31</v>
      </c>
      <c r="C18" s="4">
        <v>-1.99</v>
      </c>
      <c r="D18" s="37">
        <f t="shared" si="0"/>
        <v>1.99</v>
      </c>
      <c r="E18" s="4" t="s">
        <v>23</v>
      </c>
      <c r="F18" s="4" t="s">
        <v>146</v>
      </c>
    </row>
    <row r="19" spans="1:6" ht="20" x14ac:dyDescent="0.25">
      <c r="A19" s="5">
        <v>45553</v>
      </c>
      <c r="B19" s="4" t="s">
        <v>178</v>
      </c>
      <c r="C19" s="4">
        <v>-2.99</v>
      </c>
      <c r="D19" s="37">
        <f t="shared" si="0"/>
        <v>2.99</v>
      </c>
      <c r="E19" s="4" t="s">
        <v>23</v>
      </c>
      <c r="F19" s="4" t="s">
        <v>146</v>
      </c>
    </row>
    <row r="20" spans="1:6" ht="20" x14ac:dyDescent="0.25">
      <c r="A20" s="5">
        <v>45554</v>
      </c>
      <c r="B20" s="4" t="s">
        <v>31</v>
      </c>
      <c r="C20" s="4">
        <v>-5</v>
      </c>
      <c r="D20" s="37">
        <f t="shared" si="0"/>
        <v>5</v>
      </c>
      <c r="E20" s="4" t="s">
        <v>23</v>
      </c>
      <c r="F20" s="4" t="s">
        <v>146</v>
      </c>
    </row>
    <row r="21" spans="1:6" ht="20" x14ac:dyDescent="0.25">
      <c r="A21" s="5">
        <v>45556</v>
      </c>
      <c r="B21" s="4" t="s">
        <v>201</v>
      </c>
      <c r="C21" s="4">
        <v>-14.28</v>
      </c>
      <c r="D21" s="37">
        <f t="shared" si="0"/>
        <v>14.28</v>
      </c>
      <c r="E21" s="4" t="s">
        <v>54</v>
      </c>
      <c r="F21" s="4" t="s">
        <v>137</v>
      </c>
    </row>
    <row r="22" spans="1:6" ht="20" x14ac:dyDescent="0.25">
      <c r="A22" s="5">
        <v>45556</v>
      </c>
      <c r="B22" s="4" t="s">
        <v>207</v>
      </c>
      <c r="C22" s="4">
        <v>-11.8</v>
      </c>
      <c r="D22" s="37">
        <f t="shared" si="0"/>
        <v>11.8</v>
      </c>
      <c r="E22" s="4" t="s">
        <v>15</v>
      </c>
      <c r="F22" s="4" t="s">
        <v>137</v>
      </c>
    </row>
    <row r="23" spans="1:6" ht="20" x14ac:dyDescent="0.25">
      <c r="A23" s="5">
        <v>45560</v>
      </c>
      <c r="B23" s="4" t="s">
        <v>200</v>
      </c>
      <c r="C23" s="4">
        <v>-4.29</v>
      </c>
      <c r="D23" s="37">
        <f t="shared" si="0"/>
        <v>4.29</v>
      </c>
      <c r="E23" s="4" t="s">
        <v>12</v>
      </c>
      <c r="F23" s="4" t="s">
        <v>137</v>
      </c>
    </row>
    <row r="24" spans="1:6" ht="20" x14ac:dyDescent="0.25">
      <c r="A24" s="5">
        <v>45564</v>
      </c>
      <c r="B24" s="4" t="s">
        <v>166</v>
      </c>
      <c r="C24" s="4">
        <v>-5.6</v>
      </c>
      <c r="D24" s="37">
        <f t="shared" si="0"/>
        <v>5.6</v>
      </c>
      <c r="E24" s="4" t="s">
        <v>10</v>
      </c>
      <c r="F24" s="4" t="s">
        <v>149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6FB0-A8C3-474D-AE28-F965763D4731}">
  <dimension ref="A1:I37"/>
  <sheetViews>
    <sheetView topLeftCell="A11" workbookViewId="0">
      <selection activeCell="I6" sqref="I6"/>
    </sheetView>
  </sheetViews>
  <sheetFormatPr baseColWidth="10" defaultRowHeight="16" x14ac:dyDescent="0.2"/>
  <cols>
    <col min="1" max="1" width="11.1640625" bestFit="1" customWidth="1"/>
    <col min="2" max="2" width="44.6640625" bestFit="1" customWidth="1"/>
    <col min="3" max="3" width="75.5" hidden="1" customWidth="1"/>
    <col min="4" max="4" width="13.1640625" customWidth="1"/>
    <col min="5" max="5" width="21.6640625" bestFit="1" customWidth="1"/>
    <col min="6" max="6" width="44.6640625" bestFit="1" customWidth="1"/>
    <col min="8" max="8" width="15.33203125" bestFit="1" customWidth="1"/>
    <col min="9" max="9" width="11.83203125" bestFit="1" customWidth="1"/>
  </cols>
  <sheetData>
    <row r="1" spans="1:9" ht="19" x14ac:dyDescent="0.25">
      <c r="A1" s="52" t="s">
        <v>2</v>
      </c>
      <c r="B1" s="53" t="s">
        <v>3</v>
      </c>
      <c r="C1" s="53" t="s">
        <v>4</v>
      </c>
      <c r="D1" s="53" t="s">
        <v>171</v>
      </c>
      <c r="E1" s="53" t="s">
        <v>5</v>
      </c>
      <c r="F1" s="54" t="s">
        <v>170</v>
      </c>
    </row>
    <row r="2" spans="1:9" ht="20" x14ac:dyDescent="0.25">
      <c r="A2" s="55">
        <v>45566</v>
      </c>
      <c r="B2" s="56" t="s">
        <v>205</v>
      </c>
      <c r="C2" s="56">
        <v>-171.65</v>
      </c>
      <c r="D2" s="56">
        <f>-Table11[[#This Row],[Amount]]/2</f>
        <v>85.825000000000003</v>
      </c>
      <c r="E2" s="56" t="s">
        <v>227</v>
      </c>
      <c r="F2" s="56" t="s">
        <v>137</v>
      </c>
      <c r="H2" s="57" t="s">
        <v>5</v>
      </c>
      <c r="I2" s="48" t="s">
        <v>94</v>
      </c>
    </row>
    <row r="3" spans="1:9" ht="20" x14ac:dyDescent="0.25">
      <c r="A3" s="55">
        <v>45567</v>
      </c>
      <c r="B3" s="56" t="s">
        <v>214</v>
      </c>
      <c r="C3" s="56">
        <v>-12.37</v>
      </c>
      <c r="D3" s="56">
        <f>-Table11[[#This Row],[Amount]]/2</f>
        <v>6.1849999999999996</v>
      </c>
      <c r="E3" s="56" t="s">
        <v>15</v>
      </c>
      <c r="F3" s="56" t="s">
        <v>150</v>
      </c>
      <c r="H3" s="48" t="s">
        <v>216</v>
      </c>
      <c r="I3" s="67">
        <v>1.4950000000000001</v>
      </c>
    </row>
    <row r="4" spans="1:9" ht="20" x14ac:dyDescent="0.25">
      <c r="A4" s="55">
        <v>45570</v>
      </c>
      <c r="B4" s="56" t="s">
        <v>73</v>
      </c>
      <c r="C4" s="56">
        <v>-12.22</v>
      </c>
      <c r="D4" s="56">
        <f>-Table11[[#This Row],[Amount]]/2</f>
        <v>6.11</v>
      </c>
      <c r="E4" s="56" t="s">
        <v>15</v>
      </c>
      <c r="F4" s="56" t="s">
        <v>150</v>
      </c>
      <c r="H4" s="48" t="s">
        <v>54</v>
      </c>
      <c r="I4" s="67">
        <v>71.240000000000009</v>
      </c>
    </row>
    <row r="5" spans="1:9" ht="20" x14ac:dyDescent="0.25">
      <c r="A5" s="55">
        <v>45570</v>
      </c>
      <c r="B5" s="56" t="s">
        <v>121</v>
      </c>
      <c r="C5" s="56">
        <v>-11.39</v>
      </c>
      <c r="D5" s="56">
        <f>-Table11[[#This Row],[Amount]]/2</f>
        <v>5.6950000000000003</v>
      </c>
      <c r="E5" s="56" t="s">
        <v>15</v>
      </c>
      <c r="F5" s="56" t="s">
        <v>150</v>
      </c>
      <c r="H5" s="48" t="s">
        <v>209</v>
      </c>
      <c r="I5" s="67">
        <v>1081.9100000000001</v>
      </c>
    </row>
    <row r="6" spans="1:9" ht="20" x14ac:dyDescent="0.25">
      <c r="A6" s="55">
        <v>45570</v>
      </c>
      <c r="B6" s="56" t="s">
        <v>223</v>
      </c>
      <c r="C6" s="56">
        <v>-42.11</v>
      </c>
      <c r="D6" s="56">
        <f>-Table11[[#This Row],[Amount]]/2</f>
        <v>21.055</v>
      </c>
      <c r="E6" s="56" t="s">
        <v>54</v>
      </c>
      <c r="F6" s="56" t="s">
        <v>137</v>
      </c>
      <c r="H6" s="48" t="s">
        <v>10</v>
      </c>
      <c r="I6" s="67">
        <v>417.33</v>
      </c>
    </row>
    <row r="7" spans="1:9" ht="20" x14ac:dyDescent="0.25">
      <c r="A7" s="55">
        <v>45572</v>
      </c>
      <c r="B7" s="56" t="s">
        <v>215</v>
      </c>
      <c r="C7" s="56">
        <v>-9.99</v>
      </c>
      <c r="D7" s="56">
        <f>-Table11[[#This Row],[Amount]]/2</f>
        <v>4.9950000000000001</v>
      </c>
      <c r="E7" s="56" t="s">
        <v>12</v>
      </c>
      <c r="F7" s="56" t="s">
        <v>146</v>
      </c>
      <c r="H7" s="48" t="s">
        <v>224</v>
      </c>
      <c r="I7" s="67">
        <v>94.34</v>
      </c>
    </row>
    <row r="8" spans="1:9" ht="20" x14ac:dyDescent="0.25">
      <c r="A8" s="55">
        <v>45573</v>
      </c>
      <c r="B8" s="56" t="s">
        <v>222</v>
      </c>
      <c r="C8" s="56">
        <v>-28.28</v>
      </c>
      <c r="D8" s="56">
        <f>-Table11[[#This Row],[Amount]]/2</f>
        <v>14.14</v>
      </c>
      <c r="E8" s="56" t="s">
        <v>227</v>
      </c>
      <c r="F8" s="56" t="s">
        <v>146</v>
      </c>
      <c r="H8" s="48" t="s">
        <v>225</v>
      </c>
      <c r="I8" s="67">
        <v>49.505000000000003</v>
      </c>
    </row>
    <row r="9" spans="1:9" ht="20" x14ac:dyDescent="0.25">
      <c r="A9" s="55">
        <v>45573</v>
      </c>
      <c r="B9" s="56" t="s">
        <v>203</v>
      </c>
      <c r="C9" s="56">
        <v>-20.32</v>
      </c>
      <c r="D9" s="56">
        <f>-Table11[[#This Row],[Amount]]/2</f>
        <v>10.16</v>
      </c>
      <c r="E9" s="56" t="s">
        <v>54</v>
      </c>
      <c r="F9" s="56" t="s">
        <v>137</v>
      </c>
      <c r="H9" s="48" t="s">
        <v>227</v>
      </c>
      <c r="I9" s="67">
        <v>282.32499999999999</v>
      </c>
    </row>
    <row r="10" spans="1:9" ht="20" x14ac:dyDescent="0.25">
      <c r="A10" s="55">
        <v>45574</v>
      </c>
      <c r="B10" s="56" t="s">
        <v>214</v>
      </c>
      <c r="C10" s="56">
        <v>-12.15</v>
      </c>
      <c r="D10" s="56">
        <f>-Table11[[#This Row],[Amount]]/2</f>
        <v>6.0750000000000002</v>
      </c>
      <c r="E10" s="56" t="s">
        <v>15</v>
      </c>
      <c r="F10" s="56" t="s">
        <v>150</v>
      </c>
      <c r="H10" s="48" t="s">
        <v>21</v>
      </c>
      <c r="I10" s="67">
        <v>1998.145</v>
      </c>
    </row>
    <row r="11" spans="1:9" ht="19" x14ac:dyDescent="0.25">
      <c r="A11" s="55">
        <v>45577</v>
      </c>
      <c r="B11" s="56" t="s">
        <v>221</v>
      </c>
      <c r="C11" s="56">
        <v>-11.42</v>
      </c>
      <c r="D11" s="56">
        <f>-Table11[[#This Row],[Amount]]/2</f>
        <v>5.71</v>
      </c>
      <c r="E11" s="56" t="s">
        <v>15</v>
      </c>
      <c r="F11" s="56" t="s">
        <v>150</v>
      </c>
      <c r="I11" s="58"/>
    </row>
    <row r="12" spans="1:9" ht="20" x14ac:dyDescent="0.25">
      <c r="A12" s="55">
        <v>45578</v>
      </c>
      <c r="B12" s="56" t="s">
        <v>204</v>
      </c>
      <c r="C12" s="56">
        <v>-129</v>
      </c>
      <c r="D12" s="56">
        <f>-Table11[[#This Row],[Amount]]/2</f>
        <v>64.5</v>
      </c>
      <c r="E12" s="56" t="s">
        <v>12</v>
      </c>
      <c r="F12" s="56" t="s">
        <v>150</v>
      </c>
      <c r="I12" s="59">
        <f>GETPIVOTDATA("Amount2",$H$2)-GETPIVOTDATA("Amount2",$H$2,"Category","Rent")</f>
        <v>916.2349999999999</v>
      </c>
    </row>
    <row r="13" spans="1:9" ht="19" x14ac:dyDescent="0.25">
      <c r="A13" s="55">
        <v>45578</v>
      </c>
      <c r="B13" s="56" t="s">
        <v>220</v>
      </c>
      <c r="C13" s="56">
        <v>-258.54000000000002</v>
      </c>
      <c r="D13" s="56">
        <f>-Table11[[#This Row],[Amount]]/2</f>
        <v>129.27000000000001</v>
      </c>
      <c r="E13" s="56" t="s">
        <v>227</v>
      </c>
      <c r="F13" s="56" t="s">
        <v>146</v>
      </c>
    </row>
    <row r="14" spans="1:9" ht="19" x14ac:dyDescent="0.25">
      <c r="A14" s="55">
        <v>45579</v>
      </c>
      <c r="B14" s="56" t="s">
        <v>205</v>
      </c>
      <c r="C14" s="56">
        <v>-40.729999999999997</v>
      </c>
      <c r="D14" s="56">
        <f>-Table11[[#This Row],[Amount]]/2</f>
        <v>20.364999999999998</v>
      </c>
      <c r="E14" s="56" t="s">
        <v>227</v>
      </c>
      <c r="F14" s="56" t="s">
        <v>137</v>
      </c>
    </row>
    <row r="15" spans="1:9" ht="19" x14ac:dyDescent="0.25">
      <c r="A15" s="55">
        <v>45579</v>
      </c>
      <c r="B15" s="56" t="s">
        <v>166</v>
      </c>
      <c r="C15" s="56">
        <v>-115.36</v>
      </c>
      <c r="D15" s="56">
        <f>-Table11[[#This Row],[Amount]]/2</f>
        <v>57.68</v>
      </c>
      <c r="E15" s="56" t="s">
        <v>10</v>
      </c>
      <c r="F15" s="56" t="s">
        <v>218</v>
      </c>
    </row>
    <row r="16" spans="1:9" ht="19" x14ac:dyDescent="0.25">
      <c r="A16" s="55">
        <v>45579</v>
      </c>
      <c r="B16" s="56" t="s">
        <v>219</v>
      </c>
      <c r="C16" s="56">
        <v>-2.9</v>
      </c>
      <c r="D16" s="56">
        <f>-Table11[[#This Row],[Amount]]/2</f>
        <v>1.45</v>
      </c>
      <c r="E16" s="56" t="s">
        <v>12</v>
      </c>
      <c r="F16" s="56" t="s">
        <v>137</v>
      </c>
    </row>
    <row r="17" spans="1:6" ht="19" x14ac:dyDescent="0.25">
      <c r="A17" s="55">
        <v>45579</v>
      </c>
      <c r="B17" s="56" t="s">
        <v>166</v>
      </c>
      <c r="C17" s="56">
        <v>-188.48</v>
      </c>
      <c r="D17" s="56">
        <f>-Table11[[#This Row],[Amount]]/2</f>
        <v>94.24</v>
      </c>
      <c r="E17" s="56" t="s">
        <v>10</v>
      </c>
      <c r="F17" s="56" t="s">
        <v>218</v>
      </c>
    </row>
    <row r="18" spans="1:6" ht="19" x14ac:dyDescent="0.25">
      <c r="A18" s="55">
        <v>45579</v>
      </c>
      <c r="B18" s="56" t="s">
        <v>166</v>
      </c>
      <c r="C18" s="56">
        <v>-44.6</v>
      </c>
      <c r="D18" s="56">
        <f>-Table11[[#This Row],[Amount]]/2</f>
        <v>22.3</v>
      </c>
      <c r="E18" s="56" t="s">
        <v>10</v>
      </c>
      <c r="F18" s="56" t="s">
        <v>218</v>
      </c>
    </row>
    <row r="19" spans="1:6" ht="19" x14ac:dyDescent="0.25">
      <c r="A19" s="55">
        <v>45580</v>
      </c>
      <c r="B19" s="56" t="s">
        <v>166</v>
      </c>
      <c r="C19" s="56">
        <v>-127.26</v>
      </c>
      <c r="D19" s="56">
        <f>-Table11[[#This Row],[Amount]]/2</f>
        <v>63.63</v>
      </c>
      <c r="E19" s="56" t="s">
        <v>10</v>
      </c>
      <c r="F19" s="56" t="s">
        <v>218</v>
      </c>
    </row>
    <row r="20" spans="1:6" ht="19" x14ac:dyDescent="0.25">
      <c r="A20" s="55">
        <v>45581</v>
      </c>
      <c r="B20" s="56" t="s">
        <v>166</v>
      </c>
      <c r="C20" s="56">
        <v>-358.96</v>
      </c>
      <c r="D20" s="56">
        <f>-Table11[[#This Row],[Amount]]/2</f>
        <v>179.48</v>
      </c>
      <c r="E20" s="56" t="s">
        <v>10</v>
      </c>
      <c r="F20" s="56" t="s">
        <v>218</v>
      </c>
    </row>
    <row r="21" spans="1:6" ht="19" x14ac:dyDescent="0.25">
      <c r="A21" s="55">
        <v>45582</v>
      </c>
      <c r="B21" s="56" t="s">
        <v>203</v>
      </c>
      <c r="C21" s="56">
        <v>-6.34</v>
      </c>
      <c r="D21" s="56">
        <f>-Table11[[#This Row],[Amount]]/2</f>
        <v>3.17</v>
      </c>
      <c r="E21" s="56" t="s">
        <v>54</v>
      </c>
      <c r="F21" s="56" t="s">
        <v>150</v>
      </c>
    </row>
    <row r="22" spans="1:6" ht="19" x14ac:dyDescent="0.25">
      <c r="A22" s="55">
        <v>45582</v>
      </c>
      <c r="B22" s="56" t="s">
        <v>217</v>
      </c>
      <c r="C22" s="56">
        <v>-9.99</v>
      </c>
      <c r="D22" s="56">
        <f>-Table11[[#This Row],[Amount]]/2</f>
        <v>4.9950000000000001</v>
      </c>
      <c r="E22" s="56" t="s">
        <v>12</v>
      </c>
      <c r="F22" s="56" t="s">
        <v>137</v>
      </c>
    </row>
    <row r="23" spans="1:6" ht="19" x14ac:dyDescent="0.25">
      <c r="A23" s="55">
        <v>45583</v>
      </c>
      <c r="B23" s="56" t="s">
        <v>215</v>
      </c>
      <c r="C23" s="56">
        <v>-2.99</v>
      </c>
      <c r="D23" s="56">
        <f>-Table11[[#This Row],[Amount]]/2</f>
        <v>1.4950000000000001</v>
      </c>
      <c r="E23" s="56" t="s">
        <v>216</v>
      </c>
      <c r="F23" s="56" t="s">
        <v>146</v>
      </c>
    </row>
    <row r="24" spans="1:6" ht="19" x14ac:dyDescent="0.25">
      <c r="A24" s="55">
        <v>45584</v>
      </c>
      <c r="B24" s="56" t="s">
        <v>214</v>
      </c>
      <c r="C24" s="56">
        <v>-13.23</v>
      </c>
      <c r="D24" s="56">
        <f>-Table11[[#This Row],[Amount]]/2</f>
        <v>6.6150000000000002</v>
      </c>
      <c r="E24" s="56" t="s">
        <v>15</v>
      </c>
      <c r="F24" s="56" t="s">
        <v>150</v>
      </c>
    </row>
    <row r="25" spans="1:6" ht="19" x14ac:dyDescent="0.25">
      <c r="A25" s="55">
        <v>45585</v>
      </c>
      <c r="B25" s="56" t="s">
        <v>213</v>
      </c>
      <c r="C25" s="56">
        <v>-14.84</v>
      </c>
      <c r="D25" s="56">
        <f>-Table11[[#This Row],[Amount]]/2</f>
        <v>7.42</v>
      </c>
      <c r="E25" s="56" t="s">
        <v>15</v>
      </c>
      <c r="F25" s="56" t="s">
        <v>150</v>
      </c>
    </row>
    <row r="26" spans="1:6" ht="19" x14ac:dyDescent="0.25">
      <c r="A26" s="55">
        <v>45587</v>
      </c>
      <c r="B26" s="56" t="s">
        <v>211</v>
      </c>
      <c r="C26" s="56">
        <v>-3.21</v>
      </c>
      <c r="D26" s="56">
        <f>-Table11[[#This Row],[Amount]]/2</f>
        <v>1.605</v>
      </c>
      <c r="E26" s="56" t="s">
        <v>227</v>
      </c>
      <c r="F26" s="56" t="s">
        <v>146</v>
      </c>
    </row>
    <row r="27" spans="1:6" ht="19" x14ac:dyDescent="0.25">
      <c r="A27" s="55">
        <v>45587</v>
      </c>
      <c r="B27" s="56" t="s">
        <v>212</v>
      </c>
      <c r="C27" s="56">
        <v>-6.45</v>
      </c>
      <c r="D27" s="56">
        <f>-Table11[[#This Row],[Amount]]/2</f>
        <v>3.2250000000000001</v>
      </c>
      <c r="E27" s="56" t="s">
        <v>12</v>
      </c>
      <c r="F27" s="56" t="s">
        <v>137</v>
      </c>
    </row>
    <row r="28" spans="1:6" ht="19" x14ac:dyDescent="0.25">
      <c r="A28" s="55">
        <v>45587</v>
      </c>
      <c r="B28" s="56" t="s">
        <v>226</v>
      </c>
      <c r="C28" s="56">
        <v>-30.35</v>
      </c>
      <c r="D28" s="56">
        <f>-Table11[[#This Row],[Amount]]/2</f>
        <v>15.175000000000001</v>
      </c>
      <c r="E28" s="56" t="s">
        <v>12</v>
      </c>
      <c r="F28" s="56" t="s">
        <v>196</v>
      </c>
    </row>
    <row r="29" spans="1:6" ht="19" x14ac:dyDescent="0.25">
      <c r="A29" s="55">
        <v>45588</v>
      </c>
      <c r="B29" s="56" t="s">
        <v>121</v>
      </c>
      <c r="C29" s="56">
        <v>-11.39</v>
      </c>
      <c r="D29" s="56">
        <f>-Table11[[#This Row],[Amount]]/2</f>
        <v>5.6950000000000003</v>
      </c>
      <c r="E29" s="56" t="s">
        <v>15</v>
      </c>
      <c r="F29" s="56" t="s">
        <v>150</v>
      </c>
    </row>
    <row r="30" spans="1:6" ht="19" x14ac:dyDescent="0.25">
      <c r="A30" s="55">
        <v>45588</v>
      </c>
      <c r="B30" s="56" t="s">
        <v>210</v>
      </c>
      <c r="C30" s="56">
        <v>-62.24</v>
      </c>
      <c r="D30" s="56">
        <f>-Table11[[#This Row],[Amount]]/2</f>
        <v>31.12</v>
      </c>
      <c r="E30" s="56" t="s">
        <v>227</v>
      </c>
      <c r="F30" s="56" t="s">
        <v>146</v>
      </c>
    </row>
    <row r="31" spans="1:6" ht="19" x14ac:dyDescent="0.25">
      <c r="A31" s="55">
        <v>45588</v>
      </c>
      <c r="B31" s="56" t="s">
        <v>203</v>
      </c>
      <c r="C31" s="56">
        <v>-3.29</v>
      </c>
      <c r="D31" s="56">
        <f>-Table11[[#This Row],[Amount]]/2</f>
        <v>1.645</v>
      </c>
      <c r="E31" s="56" t="s">
        <v>54</v>
      </c>
      <c r="F31" s="56" t="s">
        <v>137</v>
      </c>
    </row>
    <row r="32" spans="1:6" ht="19" x14ac:dyDescent="0.25">
      <c r="A32" s="55">
        <v>45588</v>
      </c>
      <c r="B32" s="56" t="s">
        <v>203</v>
      </c>
      <c r="C32" s="56">
        <v>-20.11</v>
      </c>
      <c r="D32" s="56">
        <f>-Table11[[#This Row],[Amount]]/2</f>
        <v>10.055</v>
      </c>
      <c r="E32" s="56" t="s">
        <v>54</v>
      </c>
      <c r="F32" s="56" t="s">
        <v>137</v>
      </c>
    </row>
    <row r="33" spans="1:6" ht="19" x14ac:dyDescent="0.25">
      <c r="A33" s="55">
        <v>45592</v>
      </c>
      <c r="B33" s="56" t="s">
        <v>164</v>
      </c>
      <c r="C33" s="56">
        <v>-2163.8200000000002</v>
      </c>
      <c r="D33" s="56">
        <f>-Table11[[#This Row],[Amount]]/2</f>
        <v>1081.9100000000001</v>
      </c>
      <c r="E33" s="56" t="s">
        <v>209</v>
      </c>
      <c r="F33" s="56" t="s">
        <v>146</v>
      </c>
    </row>
    <row r="34" spans="1:6" ht="19" x14ac:dyDescent="0.25">
      <c r="A34" s="55">
        <v>45593</v>
      </c>
      <c r="B34" s="56" t="s">
        <v>203</v>
      </c>
      <c r="C34" s="56">
        <v>-5.48</v>
      </c>
      <c r="D34" s="56">
        <f>-Table11[[#This Row],[Amount]]/2</f>
        <v>2.74</v>
      </c>
      <c r="E34" s="56" t="s">
        <v>54</v>
      </c>
      <c r="F34" s="56" t="s">
        <v>137</v>
      </c>
    </row>
    <row r="35" spans="1:6" ht="19" x14ac:dyDescent="0.25">
      <c r="A35" s="55">
        <v>45593</v>
      </c>
      <c r="B35" s="56" t="s">
        <v>181</v>
      </c>
      <c r="C35" s="56">
        <v>-25.01</v>
      </c>
      <c r="D35" s="56">
        <f>-Table11[[#This Row],[Amount]]/2</f>
        <v>12.505000000000001</v>
      </c>
      <c r="E35" s="56" t="s">
        <v>54</v>
      </c>
      <c r="F35" s="56" t="s">
        <v>137</v>
      </c>
    </row>
    <row r="36" spans="1:6" ht="19" x14ac:dyDescent="0.25">
      <c r="A36" s="55">
        <v>45595</v>
      </c>
      <c r="B36" s="56" t="s">
        <v>203</v>
      </c>
      <c r="C36" s="56">
        <v>-14.96</v>
      </c>
      <c r="D36" s="56">
        <f>-Table11[[#This Row],[Amount]]/2</f>
        <v>7.48</v>
      </c>
      <c r="E36" s="56" t="s">
        <v>54</v>
      </c>
      <c r="F36" s="56" t="s">
        <v>137</v>
      </c>
    </row>
    <row r="37" spans="1:6" ht="19" x14ac:dyDescent="0.25">
      <c r="A37" s="55">
        <v>45595</v>
      </c>
      <c r="B37" s="56" t="s">
        <v>181</v>
      </c>
      <c r="C37" s="56">
        <v>-4.8600000000000003</v>
      </c>
      <c r="D37" s="56">
        <f>-Table11[[#This Row],[Amount]]/2</f>
        <v>2.4300000000000002</v>
      </c>
      <c r="E37" s="56" t="s">
        <v>54</v>
      </c>
      <c r="F37" s="56" t="s">
        <v>137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BF73-6083-5843-938C-B4D534BB4F30}">
  <dimension ref="A1:I30"/>
  <sheetViews>
    <sheetView workbookViewId="0">
      <selection activeCell="H6" sqref="H3:H8"/>
      <pivotSelection pane="bottomRight" showHeader="1" axis="axisRow" activeRow="5" activeCol="7" previousRow="5" previousCol="7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baseColWidth="10" defaultRowHeight="16" x14ac:dyDescent="0.2"/>
  <cols>
    <col min="1" max="1" width="11.1640625" bestFit="1" customWidth="1"/>
    <col min="2" max="2" width="48.1640625" bestFit="1" customWidth="1"/>
    <col min="3" max="3" width="30" hidden="1" customWidth="1"/>
    <col min="4" max="4" width="13.1640625" customWidth="1"/>
    <col min="5" max="5" width="22.6640625" bestFit="1" customWidth="1"/>
    <col min="6" max="6" width="48.1640625" bestFit="1" customWidth="1"/>
    <col min="8" max="8" width="15.6640625" bestFit="1" customWidth="1"/>
    <col min="9" max="9" width="13.5" bestFit="1" customWidth="1"/>
  </cols>
  <sheetData>
    <row r="1" spans="1:9" ht="20" x14ac:dyDescent="0.25">
      <c r="A1" s="1" t="s">
        <v>2</v>
      </c>
      <c r="B1" s="2" t="s">
        <v>3</v>
      </c>
      <c r="C1" s="2" t="s">
        <v>4</v>
      </c>
      <c r="D1" s="2" t="s">
        <v>171</v>
      </c>
      <c r="E1" s="2" t="s">
        <v>5</v>
      </c>
      <c r="F1" s="3" t="s">
        <v>170</v>
      </c>
    </row>
    <row r="2" spans="1:9" ht="20" x14ac:dyDescent="0.25">
      <c r="A2" s="60">
        <v>45600</v>
      </c>
      <c r="B2" s="61" t="s">
        <v>73</v>
      </c>
      <c r="C2" s="61">
        <v>-18.98</v>
      </c>
      <c r="D2" s="62">
        <f>-Table12[[#This Row],[Amount]]</f>
        <v>18.98</v>
      </c>
      <c r="E2" s="61" t="s">
        <v>15</v>
      </c>
      <c r="F2" s="61" t="s">
        <v>137</v>
      </c>
      <c r="H2" s="63" t="s">
        <v>5</v>
      </c>
      <c r="I2" s="63" t="s">
        <v>94</v>
      </c>
    </row>
    <row r="3" spans="1:9" ht="20" x14ac:dyDescent="0.25">
      <c r="A3" s="60">
        <v>45600</v>
      </c>
      <c r="B3" s="61" t="s">
        <v>235</v>
      </c>
      <c r="C3" s="61">
        <v>-9.48</v>
      </c>
      <c r="D3" s="62">
        <f>-Table12[[#This Row],[Amount]]</f>
        <v>9.48</v>
      </c>
      <c r="E3" s="61" t="s">
        <v>54</v>
      </c>
      <c r="F3" s="61" t="s">
        <v>137</v>
      </c>
      <c r="H3" s="48" t="s">
        <v>54</v>
      </c>
      <c r="I3" s="51">
        <v>104.17264705882353</v>
      </c>
    </row>
    <row r="4" spans="1:9" ht="20" x14ac:dyDescent="0.25">
      <c r="A4" s="60">
        <v>45601</v>
      </c>
      <c r="B4" s="61" t="s">
        <v>203</v>
      </c>
      <c r="C4" s="61">
        <v>-11.77</v>
      </c>
      <c r="D4" s="62">
        <f>-Table12[[#This Row],[Amount]]</f>
        <v>11.77</v>
      </c>
      <c r="E4" s="61" t="s">
        <v>54</v>
      </c>
      <c r="F4" s="61" t="s">
        <v>137</v>
      </c>
      <c r="H4" s="48" t="s">
        <v>10</v>
      </c>
      <c r="I4" s="51">
        <v>320.48</v>
      </c>
    </row>
    <row r="5" spans="1:9" ht="20" x14ac:dyDescent="0.25">
      <c r="A5" s="60">
        <v>45601</v>
      </c>
      <c r="B5" s="61" t="s">
        <v>234</v>
      </c>
      <c r="C5" s="61">
        <v>-23</v>
      </c>
      <c r="D5" s="62">
        <f>-Table12[[#This Row],[Amount]]</f>
        <v>23</v>
      </c>
      <c r="E5" s="61" t="s">
        <v>12</v>
      </c>
      <c r="F5" s="61" t="s">
        <v>137</v>
      </c>
      <c r="H5" s="48" t="s">
        <v>15</v>
      </c>
      <c r="I5" s="51">
        <v>92.770735294117657</v>
      </c>
    </row>
    <row r="6" spans="1:9" ht="20" x14ac:dyDescent="0.25">
      <c r="A6" s="60">
        <v>45603</v>
      </c>
      <c r="B6" s="61" t="s">
        <v>215</v>
      </c>
      <c r="C6" s="61">
        <v>-9.99</v>
      </c>
      <c r="D6" s="62">
        <f>-Table12[[#This Row],[Amount]]</f>
        <v>9.99</v>
      </c>
      <c r="E6" s="61" t="s">
        <v>23</v>
      </c>
      <c r="F6" s="61" t="s">
        <v>146</v>
      </c>
      <c r="H6" s="48" t="s">
        <v>12</v>
      </c>
      <c r="I6" s="51">
        <v>105.97</v>
      </c>
    </row>
    <row r="7" spans="1:9" ht="20" x14ac:dyDescent="0.25">
      <c r="A7" s="60">
        <v>45605</v>
      </c>
      <c r="B7" s="61" t="s">
        <v>237</v>
      </c>
      <c r="C7" s="61">
        <v>-12.04</v>
      </c>
      <c r="D7" s="62">
        <f>-Table12[[#This Row],[Amount]]</f>
        <v>12.04</v>
      </c>
      <c r="E7" s="61" t="s">
        <v>15</v>
      </c>
      <c r="F7" s="61" t="s">
        <v>150</v>
      </c>
      <c r="H7" s="48" t="s">
        <v>23</v>
      </c>
      <c r="I7" s="51">
        <v>22.97</v>
      </c>
    </row>
    <row r="8" spans="1:9" ht="20" x14ac:dyDescent="0.25">
      <c r="A8" s="60">
        <v>45605</v>
      </c>
      <c r="B8" s="61" t="s">
        <v>236</v>
      </c>
      <c r="C8" s="61">
        <v>-48.87</v>
      </c>
      <c r="D8" s="62">
        <f>-Table12[[#This Row],[Amount]]/12</f>
        <v>4.0724999999999998</v>
      </c>
      <c r="E8" s="61" t="s">
        <v>15</v>
      </c>
      <c r="F8" s="61" t="s">
        <v>150</v>
      </c>
      <c r="H8" s="48" t="s">
        <v>227</v>
      </c>
      <c r="I8" s="51">
        <v>445.38</v>
      </c>
    </row>
    <row r="9" spans="1:9" ht="20" x14ac:dyDescent="0.25">
      <c r="A9" s="60">
        <v>45605</v>
      </c>
      <c r="B9" s="61" t="s">
        <v>179</v>
      </c>
      <c r="C9" s="61">
        <v>-29.75</v>
      </c>
      <c r="D9" s="62">
        <f>-Table12[[#This Row],[Amount]]/2</f>
        <v>14.875</v>
      </c>
      <c r="E9" s="61" t="s">
        <v>54</v>
      </c>
      <c r="F9" s="61" t="s">
        <v>137</v>
      </c>
      <c r="H9" s="63" t="s">
        <v>21</v>
      </c>
      <c r="I9" s="64">
        <v>1091.7433823529414</v>
      </c>
    </row>
    <row r="10" spans="1:9" ht="20" x14ac:dyDescent="0.25">
      <c r="A10" s="60">
        <v>45607</v>
      </c>
      <c r="B10" s="61" t="s">
        <v>238</v>
      </c>
      <c r="C10" s="61">
        <v>-339.8</v>
      </c>
      <c r="D10" s="62">
        <f>-Table12[[#This Row],[Amount]]/17</f>
        <v>19.988235294117647</v>
      </c>
      <c r="E10" s="61" t="s">
        <v>15</v>
      </c>
      <c r="F10" s="61" t="s">
        <v>150</v>
      </c>
    </row>
    <row r="11" spans="1:9" ht="20" x14ac:dyDescent="0.25">
      <c r="A11" s="60">
        <v>45607</v>
      </c>
      <c r="B11" s="61" t="s">
        <v>181</v>
      </c>
      <c r="C11" s="61">
        <v>-55.04</v>
      </c>
      <c r="D11" s="62">
        <f>-Table12[[#This Row],[Amount]]/17</f>
        <v>3.2376470588235295</v>
      </c>
      <c r="E11" s="61" t="s">
        <v>54</v>
      </c>
      <c r="F11" s="61" t="s">
        <v>137</v>
      </c>
    </row>
    <row r="12" spans="1:9" ht="20" x14ac:dyDescent="0.25">
      <c r="A12" s="60">
        <v>45607</v>
      </c>
      <c r="B12" s="61" t="s">
        <v>203</v>
      </c>
      <c r="C12" s="61">
        <v>-40.200000000000003</v>
      </c>
      <c r="D12" s="62">
        <f>-Table12[[#This Row],[Amount]]</f>
        <v>40.200000000000003</v>
      </c>
      <c r="E12" s="61" t="s">
        <v>54</v>
      </c>
      <c r="F12" s="61" t="s">
        <v>137</v>
      </c>
    </row>
    <row r="13" spans="1:9" ht="20" x14ac:dyDescent="0.25">
      <c r="A13" s="60">
        <v>45607</v>
      </c>
      <c r="B13" s="61" t="s">
        <v>181</v>
      </c>
      <c r="C13" s="61">
        <v>-2.79</v>
      </c>
      <c r="D13" s="62">
        <f>-Table12[[#This Row],[Amount]]</f>
        <v>2.79</v>
      </c>
      <c r="E13" s="61" t="s">
        <v>54</v>
      </c>
      <c r="F13" s="61" t="s">
        <v>137</v>
      </c>
    </row>
    <row r="14" spans="1:9" ht="20" x14ac:dyDescent="0.25">
      <c r="A14" s="60">
        <v>45607</v>
      </c>
      <c r="B14" s="61" t="s">
        <v>203</v>
      </c>
      <c r="C14" s="61">
        <v>-12.09</v>
      </c>
      <c r="D14" s="62">
        <f>-Table12[[#This Row],[Amount]]</f>
        <v>12.09</v>
      </c>
      <c r="E14" s="61" t="s">
        <v>54</v>
      </c>
      <c r="F14" s="61" t="s">
        <v>137</v>
      </c>
    </row>
    <row r="15" spans="1:9" ht="20" x14ac:dyDescent="0.25">
      <c r="A15" s="60">
        <v>45607</v>
      </c>
      <c r="B15" s="61" t="s">
        <v>181</v>
      </c>
      <c r="C15" s="61">
        <v>-4.49</v>
      </c>
      <c r="D15" s="62">
        <f>-Table12[[#This Row],[Amount]]</f>
        <v>4.49</v>
      </c>
      <c r="E15" s="61" t="s">
        <v>54</v>
      </c>
      <c r="F15" s="61" t="s">
        <v>137</v>
      </c>
    </row>
    <row r="16" spans="1:9" ht="20" x14ac:dyDescent="0.25">
      <c r="A16" s="60">
        <v>45608</v>
      </c>
      <c r="B16" s="61" t="s">
        <v>232</v>
      </c>
      <c r="C16" s="61">
        <v>-45.65</v>
      </c>
      <c r="D16" s="62">
        <f>-Table12[[#This Row],[Amount]]</f>
        <v>45.65</v>
      </c>
      <c r="E16" s="61" t="s">
        <v>12</v>
      </c>
      <c r="F16" s="61" t="s">
        <v>137</v>
      </c>
    </row>
    <row r="17" spans="1:6" ht="20" x14ac:dyDescent="0.25">
      <c r="A17" s="60">
        <v>45608</v>
      </c>
      <c r="B17" s="61" t="s">
        <v>233</v>
      </c>
      <c r="C17" s="61">
        <v>-1</v>
      </c>
      <c r="D17" s="62">
        <f>-Table12[[#This Row],[Amount]]</f>
        <v>1</v>
      </c>
      <c r="E17" s="61" t="s">
        <v>10</v>
      </c>
      <c r="F17" s="61" t="s">
        <v>137</v>
      </c>
    </row>
    <row r="18" spans="1:6" ht="20" x14ac:dyDescent="0.25">
      <c r="A18" s="60">
        <v>45610</v>
      </c>
      <c r="B18" s="61" t="s">
        <v>231</v>
      </c>
      <c r="C18" s="61">
        <v>-23</v>
      </c>
      <c r="D18" s="62">
        <f>-Table12[[#This Row],[Amount]]</f>
        <v>23</v>
      </c>
      <c r="E18" s="61" t="s">
        <v>15</v>
      </c>
      <c r="F18" s="61" t="s">
        <v>150</v>
      </c>
    </row>
    <row r="19" spans="1:6" ht="20" x14ac:dyDescent="0.25">
      <c r="A19" s="60">
        <v>45611</v>
      </c>
      <c r="B19" s="61" t="s">
        <v>166</v>
      </c>
      <c r="C19" s="61">
        <v>-303.48</v>
      </c>
      <c r="D19" s="62">
        <f>-Table12[[#This Row],[Amount]]</f>
        <v>303.48</v>
      </c>
      <c r="E19" s="61" t="s">
        <v>10</v>
      </c>
      <c r="F19" s="61" t="s">
        <v>218</v>
      </c>
    </row>
    <row r="20" spans="1:6" ht="20" x14ac:dyDescent="0.25">
      <c r="A20" s="60">
        <v>45612</v>
      </c>
      <c r="B20" s="61" t="s">
        <v>230</v>
      </c>
      <c r="C20" s="61">
        <v>-16</v>
      </c>
      <c r="D20" s="62">
        <f>-Table12[[#This Row],[Amount]]</f>
        <v>16</v>
      </c>
      <c r="E20" s="61" t="s">
        <v>10</v>
      </c>
      <c r="F20" s="61" t="s">
        <v>137</v>
      </c>
    </row>
    <row r="21" spans="1:6" ht="20" x14ac:dyDescent="0.25">
      <c r="A21" s="60">
        <v>45614</v>
      </c>
      <c r="B21" s="61" t="s">
        <v>215</v>
      </c>
      <c r="C21" s="61">
        <v>-2.99</v>
      </c>
      <c r="D21" s="62">
        <f>-Table12[[#This Row],[Amount]]</f>
        <v>2.99</v>
      </c>
      <c r="E21" s="61" t="s">
        <v>23</v>
      </c>
      <c r="F21" s="61" t="s">
        <v>146</v>
      </c>
    </row>
    <row r="22" spans="1:6" ht="20" x14ac:dyDescent="0.25">
      <c r="A22" s="60">
        <v>45614</v>
      </c>
      <c r="B22" s="61" t="s">
        <v>217</v>
      </c>
      <c r="C22" s="61">
        <v>-9.99</v>
      </c>
      <c r="D22" s="62">
        <f>-Table12[[#This Row],[Amount]]</f>
        <v>9.99</v>
      </c>
      <c r="E22" s="61" t="s">
        <v>23</v>
      </c>
      <c r="F22" s="61" t="s">
        <v>137</v>
      </c>
    </row>
    <row r="23" spans="1:6" ht="20" x14ac:dyDescent="0.25">
      <c r="A23" s="60">
        <v>45614</v>
      </c>
      <c r="B23" s="61" t="s">
        <v>210</v>
      </c>
      <c r="C23" s="61">
        <v>-12.88</v>
      </c>
      <c r="D23" s="62">
        <f>-Table12[[#This Row],[Amount]]</f>
        <v>12.88</v>
      </c>
      <c r="E23" s="61" t="s">
        <v>12</v>
      </c>
      <c r="F23" s="61" t="s">
        <v>137</v>
      </c>
    </row>
    <row r="24" spans="1:6" ht="20" x14ac:dyDescent="0.25">
      <c r="A24" s="60">
        <v>45614</v>
      </c>
      <c r="B24" s="61" t="s">
        <v>205</v>
      </c>
      <c r="C24" s="61">
        <v>-112.01</v>
      </c>
      <c r="D24" s="62">
        <f>-Table12[[#This Row],[Amount]]-55.86</f>
        <v>56.150000000000006</v>
      </c>
      <c r="E24" s="61" t="s">
        <v>227</v>
      </c>
      <c r="F24" s="61" t="s">
        <v>137</v>
      </c>
    </row>
    <row r="25" spans="1:6" ht="20" x14ac:dyDescent="0.25">
      <c r="A25" s="60">
        <v>45615</v>
      </c>
      <c r="B25" s="61" t="s">
        <v>179</v>
      </c>
      <c r="C25" s="61">
        <v>-24.44</v>
      </c>
      <c r="D25" s="62">
        <f>-Table12[[#This Row],[Amount]]</f>
        <v>24.44</v>
      </c>
      <c r="E25" s="61" t="s">
        <v>12</v>
      </c>
      <c r="F25" s="61" t="s">
        <v>137</v>
      </c>
    </row>
    <row r="26" spans="1:6" ht="20" x14ac:dyDescent="0.25">
      <c r="A26" s="60">
        <v>45615</v>
      </c>
      <c r="B26" s="61" t="s">
        <v>229</v>
      </c>
      <c r="C26" s="61">
        <v>-202.5</v>
      </c>
      <c r="D26" s="62">
        <f>-Table12[[#This Row],[Amount]]</f>
        <v>202.5</v>
      </c>
      <c r="E26" s="61" t="s">
        <v>227</v>
      </c>
      <c r="F26" s="61" t="s">
        <v>137</v>
      </c>
    </row>
    <row r="27" spans="1:6" ht="20" x14ac:dyDescent="0.25">
      <c r="A27" s="60">
        <v>45616</v>
      </c>
      <c r="B27" s="61" t="s">
        <v>229</v>
      </c>
      <c r="C27" s="61">
        <v>-130.87</v>
      </c>
      <c r="D27" s="62">
        <f>-Table12[[#This Row],[Amount]]</f>
        <v>130.87</v>
      </c>
      <c r="E27" s="61" t="s">
        <v>227</v>
      </c>
      <c r="F27" s="61" t="s">
        <v>137</v>
      </c>
    </row>
    <row r="28" spans="1:6" ht="20" x14ac:dyDescent="0.25">
      <c r="A28" s="60">
        <v>45617</v>
      </c>
      <c r="B28" s="61" t="s">
        <v>203</v>
      </c>
      <c r="C28" s="61">
        <v>-5.24</v>
      </c>
      <c r="D28" s="62">
        <f>-Table12[[#This Row],[Amount]]</f>
        <v>5.24</v>
      </c>
      <c r="E28" s="61" t="s">
        <v>54</v>
      </c>
      <c r="F28" s="61" t="s">
        <v>137</v>
      </c>
    </row>
    <row r="29" spans="1:6" ht="20" x14ac:dyDescent="0.25">
      <c r="A29" s="60">
        <v>45621</v>
      </c>
      <c r="B29" s="61" t="s">
        <v>228</v>
      </c>
      <c r="C29" s="61">
        <v>-9.26</v>
      </c>
      <c r="D29" s="62">
        <f>-Table12[[#This Row],[Amount]]</f>
        <v>9.26</v>
      </c>
      <c r="E29" s="61" t="s">
        <v>15</v>
      </c>
      <c r="F29" s="61" t="s">
        <v>150</v>
      </c>
    </row>
    <row r="30" spans="1:6" ht="20" x14ac:dyDescent="0.25">
      <c r="A30" s="60">
        <v>45621</v>
      </c>
      <c r="B30" s="61" t="s">
        <v>228</v>
      </c>
      <c r="C30" s="61">
        <v>-5.43</v>
      </c>
      <c r="D30" s="62">
        <f>-Table12[[#This Row],[Amount]]</f>
        <v>5.43</v>
      </c>
      <c r="E30" s="61" t="s">
        <v>15</v>
      </c>
      <c r="F30" s="61" t="s">
        <v>150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2F52-EF9F-D047-879E-26D9A5B0F00C}">
  <dimension ref="A1:I39"/>
  <sheetViews>
    <sheetView tabSelected="1" workbookViewId="0">
      <selection activeCell="G17" sqref="G17"/>
    </sheetView>
  </sheetViews>
  <sheetFormatPr baseColWidth="10" defaultRowHeight="16" x14ac:dyDescent="0.2"/>
  <cols>
    <col min="1" max="1" width="11.1640625" bestFit="1" customWidth="1"/>
    <col min="2" max="2" width="25.83203125" bestFit="1" customWidth="1"/>
    <col min="3" max="3" width="0" hidden="1" customWidth="1"/>
    <col min="4" max="4" width="13.1640625" customWidth="1"/>
    <col min="5" max="5" width="29.6640625" bestFit="1" customWidth="1"/>
    <col min="6" max="6" width="50.83203125" bestFit="1" customWidth="1"/>
    <col min="8" max="8" width="13.83203125" bestFit="1" customWidth="1"/>
    <col min="9" max="9" width="15" bestFit="1" customWidth="1"/>
  </cols>
  <sheetData>
    <row r="1" spans="1:9" ht="20" x14ac:dyDescent="0.25">
      <c r="A1" s="1" t="s">
        <v>2</v>
      </c>
      <c r="B1" s="2" t="s">
        <v>3</v>
      </c>
      <c r="C1" s="2" t="s">
        <v>4</v>
      </c>
      <c r="D1" s="2" t="s">
        <v>171</v>
      </c>
      <c r="E1" s="2" t="s">
        <v>5</v>
      </c>
      <c r="F1" s="3" t="s">
        <v>170</v>
      </c>
      <c r="H1" s="65" t="s">
        <v>254</v>
      </c>
      <c r="I1" t="s">
        <v>255</v>
      </c>
    </row>
    <row r="2" spans="1:9" ht="20" x14ac:dyDescent="0.25">
      <c r="A2" s="5">
        <v>45627</v>
      </c>
      <c r="B2" s="4" t="s">
        <v>256</v>
      </c>
      <c r="C2" s="4">
        <v>-15.87</v>
      </c>
      <c r="D2" s="4">
        <f t="shared" ref="D2:D23" si="0">-(C2)</f>
        <v>15.87</v>
      </c>
      <c r="E2" s="4" t="s">
        <v>15</v>
      </c>
      <c r="F2" s="4" t="s">
        <v>150</v>
      </c>
      <c r="H2" s="66" t="s">
        <v>23</v>
      </c>
      <c r="I2">
        <v>15.97</v>
      </c>
    </row>
    <row r="3" spans="1:9" ht="20" x14ac:dyDescent="0.25">
      <c r="A3" s="5">
        <v>45628</v>
      </c>
      <c r="B3" s="4" t="s">
        <v>250</v>
      </c>
      <c r="C3" s="4">
        <v>-121.76</v>
      </c>
      <c r="D3" s="4">
        <f t="shared" si="0"/>
        <v>121.76</v>
      </c>
      <c r="E3" s="4" t="s">
        <v>12</v>
      </c>
      <c r="F3" s="4" t="s">
        <v>146</v>
      </c>
      <c r="H3" s="66" t="s">
        <v>15</v>
      </c>
      <c r="I3">
        <v>35.57</v>
      </c>
    </row>
    <row r="4" spans="1:9" ht="20" x14ac:dyDescent="0.25">
      <c r="A4" s="5">
        <v>45628</v>
      </c>
      <c r="B4" s="4" t="s">
        <v>181</v>
      </c>
      <c r="C4" s="4">
        <v>-20.63</v>
      </c>
      <c r="D4" s="4">
        <f t="shared" si="0"/>
        <v>20.63</v>
      </c>
      <c r="E4" s="4" t="s">
        <v>54</v>
      </c>
      <c r="F4" s="4" t="s">
        <v>137</v>
      </c>
      <c r="H4" s="66" t="s">
        <v>54</v>
      </c>
      <c r="I4">
        <v>161</v>
      </c>
    </row>
    <row r="5" spans="1:9" ht="20" x14ac:dyDescent="0.25">
      <c r="A5" s="5">
        <v>45628</v>
      </c>
      <c r="B5" s="4" t="s">
        <v>203</v>
      </c>
      <c r="C5" s="4">
        <v>-9.32</v>
      </c>
      <c r="D5" s="4">
        <f t="shared" si="0"/>
        <v>9.32</v>
      </c>
      <c r="E5" s="4" t="s">
        <v>54</v>
      </c>
      <c r="F5" s="4" t="s">
        <v>137</v>
      </c>
      <c r="H5" s="66" t="s">
        <v>241</v>
      </c>
      <c r="I5">
        <v>24.18</v>
      </c>
    </row>
    <row r="6" spans="1:9" ht="20" x14ac:dyDescent="0.25">
      <c r="A6" s="5">
        <v>45629</v>
      </c>
      <c r="B6" s="4" t="s">
        <v>220</v>
      </c>
      <c r="C6" s="4">
        <v>-21.12</v>
      </c>
      <c r="D6" s="4">
        <f t="shared" si="0"/>
        <v>21.12</v>
      </c>
      <c r="E6" s="4" t="s">
        <v>227</v>
      </c>
      <c r="F6" s="4" t="s">
        <v>150</v>
      </c>
      <c r="H6" s="66" t="s">
        <v>12</v>
      </c>
      <c r="I6">
        <v>178</v>
      </c>
    </row>
    <row r="7" spans="1:9" ht="20" x14ac:dyDescent="0.25">
      <c r="A7" s="5">
        <v>45630</v>
      </c>
      <c r="B7" s="4" t="s">
        <v>220</v>
      </c>
      <c r="C7" s="4">
        <v>-21.12</v>
      </c>
      <c r="D7" s="4">
        <f t="shared" si="0"/>
        <v>21.12</v>
      </c>
      <c r="E7" s="4" t="s">
        <v>227</v>
      </c>
      <c r="F7" s="4" t="s">
        <v>137</v>
      </c>
      <c r="H7" s="66" t="s">
        <v>227</v>
      </c>
      <c r="I7">
        <v>465.88</v>
      </c>
    </row>
    <row r="8" spans="1:9" ht="20" x14ac:dyDescent="0.25">
      <c r="A8" s="5">
        <v>45631</v>
      </c>
      <c r="B8" s="4" t="s">
        <v>251</v>
      </c>
      <c r="C8" s="4">
        <v>-257.98</v>
      </c>
      <c r="D8" s="4">
        <f t="shared" si="0"/>
        <v>257.98</v>
      </c>
      <c r="E8" s="4" t="s">
        <v>10</v>
      </c>
      <c r="F8" s="4" t="s">
        <v>137</v>
      </c>
      <c r="H8" s="66" t="s">
        <v>10</v>
      </c>
      <c r="I8">
        <v>312.13</v>
      </c>
    </row>
    <row r="9" spans="1:9" ht="20" x14ac:dyDescent="0.25">
      <c r="A9" s="5">
        <v>45632</v>
      </c>
      <c r="B9" s="4" t="s">
        <v>242</v>
      </c>
      <c r="C9" s="4">
        <v>-42.8</v>
      </c>
      <c r="D9" s="4">
        <f t="shared" si="0"/>
        <v>42.8</v>
      </c>
      <c r="E9" s="4" t="s">
        <v>227</v>
      </c>
      <c r="F9" s="4" t="s">
        <v>146</v>
      </c>
      <c r="H9" s="66" t="s">
        <v>21</v>
      </c>
      <c r="I9">
        <v>1192.73</v>
      </c>
    </row>
    <row r="10" spans="1:9" ht="20" x14ac:dyDescent="0.25">
      <c r="A10" s="5">
        <v>45632</v>
      </c>
      <c r="B10" s="4" t="s">
        <v>252</v>
      </c>
      <c r="C10" s="4">
        <v>-28.01</v>
      </c>
      <c r="D10" s="4">
        <f t="shared" si="0"/>
        <v>28.01</v>
      </c>
      <c r="E10" s="4" t="s">
        <v>12</v>
      </c>
      <c r="F10" s="4" t="s">
        <v>146</v>
      </c>
    </row>
    <row r="11" spans="1:9" ht="20" x14ac:dyDescent="0.25">
      <c r="A11" s="5">
        <v>45633</v>
      </c>
      <c r="B11" s="4" t="s">
        <v>102</v>
      </c>
      <c r="C11" s="4">
        <v>-103.1</v>
      </c>
      <c r="D11" s="4">
        <f t="shared" si="0"/>
        <v>103.1</v>
      </c>
      <c r="E11" s="4" t="s">
        <v>227</v>
      </c>
      <c r="F11" s="4" t="s">
        <v>137</v>
      </c>
    </row>
    <row r="12" spans="1:9" ht="20" x14ac:dyDescent="0.25">
      <c r="A12" s="5">
        <v>45634</v>
      </c>
      <c r="B12" s="4" t="s">
        <v>215</v>
      </c>
      <c r="C12" s="4">
        <v>-9.99</v>
      </c>
      <c r="D12" s="4">
        <f t="shared" si="0"/>
        <v>9.99</v>
      </c>
      <c r="E12" s="4" t="s">
        <v>23</v>
      </c>
      <c r="F12" s="4" t="s">
        <v>146</v>
      </c>
    </row>
    <row r="13" spans="1:9" ht="20" x14ac:dyDescent="0.25">
      <c r="A13" s="5">
        <v>45635</v>
      </c>
      <c r="B13" s="4" t="s">
        <v>242</v>
      </c>
      <c r="C13" s="4">
        <v>-16.940000000000001</v>
      </c>
      <c r="D13" s="4">
        <f t="shared" si="0"/>
        <v>16.940000000000001</v>
      </c>
      <c r="E13" s="4" t="s">
        <v>227</v>
      </c>
      <c r="F13" s="4" t="s">
        <v>137</v>
      </c>
    </row>
    <row r="14" spans="1:9" ht="20" x14ac:dyDescent="0.25">
      <c r="A14" s="5">
        <v>45635</v>
      </c>
      <c r="B14" s="4" t="s">
        <v>247</v>
      </c>
      <c r="C14" s="4">
        <v>-119.95</v>
      </c>
      <c r="D14" s="4">
        <f t="shared" si="0"/>
        <v>119.95</v>
      </c>
      <c r="E14" s="4" t="s">
        <v>227</v>
      </c>
      <c r="F14" s="4" t="s">
        <v>137</v>
      </c>
    </row>
    <row r="15" spans="1:9" ht="20" x14ac:dyDescent="0.25">
      <c r="A15" s="5">
        <v>45635</v>
      </c>
      <c r="B15" s="4" t="s">
        <v>242</v>
      </c>
      <c r="C15" s="4">
        <v>-71.38</v>
      </c>
      <c r="D15" s="4">
        <f t="shared" si="0"/>
        <v>71.38</v>
      </c>
      <c r="E15" s="4" t="s">
        <v>227</v>
      </c>
      <c r="F15" s="4" t="s">
        <v>137</v>
      </c>
    </row>
    <row r="16" spans="1:9" ht="20" x14ac:dyDescent="0.25">
      <c r="A16" s="5">
        <v>45635</v>
      </c>
      <c r="B16" s="4" t="s">
        <v>248</v>
      </c>
      <c r="C16" s="4">
        <v>-18.309999999999999</v>
      </c>
      <c r="D16" s="4">
        <f t="shared" si="0"/>
        <v>18.309999999999999</v>
      </c>
      <c r="E16" s="4" t="s">
        <v>227</v>
      </c>
      <c r="F16" s="4" t="s">
        <v>137</v>
      </c>
    </row>
    <row r="17" spans="1:6" ht="20" x14ac:dyDescent="0.25">
      <c r="A17" s="5">
        <v>45635</v>
      </c>
      <c r="B17" s="4" t="s">
        <v>249</v>
      </c>
      <c r="C17" s="4">
        <v>-51.16</v>
      </c>
      <c r="D17" s="4">
        <f t="shared" si="0"/>
        <v>51.16</v>
      </c>
      <c r="E17" s="4" t="s">
        <v>227</v>
      </c>
      <c r="F17" s="4" t="s">
        <v>137</v>
      </c>
    </row>
    <row r="18" spans="1:6" ht="20" x14ac:dyDescent="0.25">
      <c r="A18" s="5">
        <v>45636</v>
      </c>
      <c r="B18" s="4" t="s">
        <v>245</v>
      </c>
      <c r="C18" s="4">
        <v>-22.16</v>
      </c>
      <c r="D18" s="4">
        <f t="shared" si="0"/>
        <v>22.16</v>
      </c>
      <c r="E18" s="4" t="s">
        <v>54</v>
      </c>
      <c r="F18" s="4" t="s">
        <v>150</v>
      </c>
    </row>
    <row r="19" spans="1:6" ht="20" x14ac:dyDescent="0.25">
      <c r="A19" s="5">
        <v>45636</v>
      </c>
      <c r="B19" s="4" t="s">
        <v>246</v>
      </c>
      <c r="C19" s="4">
        <v>-7.38</v>
      </c>
      <c r="D19" s="4">
        <f t="shared" si="0"/>
        <v>7.38</v>
      </c>
      <c r="E19" s="4" t="s">
        <v>54</v>
      </c>
      <c r="F19" s="4" t="s">
        <v>150</v>
      </c>
    </row>
    <row r="20" spans="1:6" ht="20" x14ac:dyDescent="0.25">
      <c r="A20" s="5">
        <v>45636</v>
      </c>
      <c r="B20" s="4" t="s">
        <v>179</v>
      </c>
      <c r="C20" s="4">
        <v>-101.51</v>
      </c>
      <c r="D20" s="4">
        <f t="shared" si="0"/>
        <v>101.51</v>
      </c>
      <c r="E20" s="4" t="s">
        <v>54</v>
      </c>
      <c r="F20" s="4" t="s">
        <v>137</v>
      </c>
    </row>
    <row r="21" spans="1:6" ht="20" x14ac:dyDescent="0.25">
      <c r="A21" s="5">
        <v>45637</v>
      </c>
      <c r="B21" s="4" t="s">
        <v>243</v>
      </c>
      <c r="C21" s="4">
        <v>-43.25</v>
      </c>
      <c r="D21" s="4">
        <f t="shared" si="0"/>
        <v>43.25</v>
      </c>
      <c r="E21" s="4" t="s">
        <v>10</v>
      </c>
      <c r="F21" s="4" t="s">
        <v>150</v>
      </c>
    </row>
    <row r="22" spans="1:6" ht="20" x14ac:dyDescent="0.25">
      <c r="A22" s="5">
        <v>45638</v>
      </c>
      <c r="B22" s="4" t="s">
        <v>39</v>
      </c>
      <c r="C22" s="4">
        <v>-10.9</v>
      </c>
      <c r="D22" s="4">
        <f t="shared" si="0"/>
        <v>10.9</v>
      </c>
      <c r="E22" s="4" t="s">
        <v>10</v>
      </c>
      <c r="F22" s="4" t="s">
        <v>150</v>
      </c>
    </row>
    <row r="23" spans="1:6" ht="20" x14ac:dyDescent="0.25">
      <c r="A23" s="5">
        <v>45640</v>
      </c>
      <c r="B23" s="4" t="s">
        <v>176</v>
      </c>
      <c r="C23" s="4">
        <v>-9.3000000000000007</v>
      </c>
      <c r="D23" s="4">
        <f t="shared" si="0"/>
        <v>9.3000000000000007</v>
      </c>
      <c r="E23" s="4" t="s">
        <v>241</v>
      </c>
      <c r="F23" s="4" t="s">
        <v>150</v>
      </c>
    </row>
    <row r="24" spans="1:6" ht="20" x14ac:dyDescent="0.25">
      <c r="A24" s="5">
        <v>45641</v>
      </c>
      <c r="B24" s="4" t="s">
        <v>176</v>
      </c>
      <c r="C24" s="4">
        <v>-44.64</v>
      </c>
      <c r="D24" s="4">
        <f>-(C24)/3</f>
        <v>14.88</v>
      </c>
      <c r="E24" s="4" t="s">
        <v>241</v>
      </c>
      <c r="F24" s="4" t="s">
        <v>150</v>
      </c>
    </row>
    <row r="25" spans="1:6" ht="20" x14ac:dyDescent="0.25">
      <c r="A25" s="5">
        <v>45643</v>
      </c>
      <c r="B25" s="4" t="s">
        <v>217</v>
      </c>
      <c r="C25" s="4">
        <v>-2.99</v>
      </c>
      <c r="D25" s="4">
        <f>-(C25)</f>
        <v>2.99</v>
      </c>
      <c r="E25" s="4" t="s">
        <v>23</v>
      </c>
      <c r="F25" s="4" t="s">
        <v>137</v>
      </c>
    </row>
    <row r="26" spans="1:6" ht="20" x14ac:dyDescent="0.25">
      <c r="A26" s="5">
        <v>45644</v>
      </c>
      <c r="B26" s="4" t="s">
        <v>215</v>
      </c>
      <c r="C26" s="4">
        <v>-2.99</v>
      </c>
      <c r="D26" s="4">
        <f>-(C26)</f>
        <v>2.99</v>
      </c>
      <c r="E26" s="4" t="s">
        <v>23</v>
      </c>
      <c r="F26" s="4" t="s">
        <v>146</v>
      </c>
    </row>
    <row r="27" spans="1:6" ht="20" x14ac:dyDescent="0.25">
      <c r="A27" s="5">
        <v>45644</v>
      </c>
      <c r="B27" s="4" t="s">
        <v>239</v>
      </c>
      <c r="C27" s="4">
        <v>-6.37</v>
      </c>
      <c r="D27" s="4">
        <f>-(C27)</f>
        <v>6.37</v>
      </c>
      <c r="E27" s="4" t="s">
        <v>15</v>
      </c>
      <c r="F27" s="4" t="s">
        <v>137</v>
      </c>
    </row>
    <row r="28" spans="1:6" ht="20" x14ac:dyDescent="0.25">
      <c r="A28" s="5">
        <v>45647</v>
      </c>
      <c r="B28" s="4" t="s">
        <v>109</v>
      </c>
      <c r="C28" s="4">
        <v>-28.23</v>
      </c>
      <c r="D28" s="4">
        <f>-(C28)</f>
        <v>28.23</v>
      </c>
      <c r="E28" s="4" t="s">
        <v>12</v>
      </c>
      <c r="F28" s="4" t="s">
        <v>146</v>
      </c>
    </row>
    <row r="29" spans="1:6" ht="20" x14ac:dyDescent="0.25">
      <c r="A29" s="5">
        <v>45647</v>
      </c>
      <c r="B29" s="4" t="s">
        <v>239</v>
      </c>
      <c r="C29" s="4">
        <v>-0.47</v>
      </c>
      <c r="D29" s="4">
        <f>-(C29)+0.12+2.93+3.99+1.41+2.35+2.06</f>
        <v>13.33</v>
      </c>
      <c r="E29" s="4" t="s">
        <v>15</v>
      </c>
      <c r="F29" s="4" t="s">
        <v>137</v>
      </c>
    </row>
    <row r="38" spans="1:6" ht="20" x14ac:dyDescent="0.25">
      <c r="A38" s="5">
        <v>45637</v>
      </c>
      <c r="B38" s="4" t="s">
        <v>244</v>
      </c>
      <c r="C38" s="4">
        <v>-750</v>
      </c>
      <c r="D38" s="4">
        <f>-(C38)</f>
        <v>750</v>
      </c>
      <c r="E38" s="4" t="s">
        <v>253</v>
      </c>
      <c r="F38" s="4" t="s">
        <v>137</v>
      </c>
    </row>
    <row r="39" spans="1:6" ht="20" x14ac:dyDescent="0.25">
      <c r="A39" s="5">
        <v>45652</v>
      </c>
      <c r="B39" s="4" t="s">
        <v>240</v>
      </c>
      <c r="C39" s="4">
        <v>-433.32</v>
      </c>
      <c r="D39" s="20">
        <f>-(C39)</f>
        <v>433.32</v>
      </c>
      <c r="E39" s="4" t="s">
        <v>216</v>
      </c>
      <c r="F39" s="4" t="s">
        <v>150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Jan '24</vt:lpstr>
      <vt:lpstr>Feb '24</vt:lpstr>
      <vt:lpstr>Mar '24</vt:lpstr>
      <vt:lpstr>Apr '24</vt:lpstr>
      <vt:lpstr>May '24</vt:lpstr>
      <vt:lpstr>Jun '24</vt:lpstr>
      <vt:lpstr>Jul '24</vt:lpstr>
      <vt:lpstr>Aug '24</vt:lpstr>
      <vt:lpstr>Sep '24</vt:lpstr>
      <vt:lpstr>Oct '24</vt:lpstr>
      <vt:lpstr>Nov '24</vt:lpstr>
      <vt:lpstr>Dec '24</vt:lpstr>
      <vt:lpstr>Jul_24</vt:lpstr>
      <vt:lpstr>Jun_24</vt:lpstr>
      <vt:lpstr>May_24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Bora</dc:creator>
  <cp:lastModifiedBy>Bora, Rohan</cp:lastModifiedBy>
  <dcterms:created xsi:type="dcterms:W3CDTF">2024-02-21T18:34:10Z</dcterms:created>
  <dcterms:modified xsi:type="dcterms:W3CDTF">2026-03-15T05:36:55Z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2026-03-15T05:36:33Z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820d84d3-3ba9-434f-aa8b-bf35bf0bd33c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